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meyyy/Desktop/"/>
    </mc:Choice>
  </mc:AlternateContent>
  <xr:revisionPtr revIDLastSave="0" documentId="13_ncr:1_{EFAD062C-19C7-FB46-AD70-95724BF81218}" xr6:coauthVersionLast="47" xr6:coauthVersionMax="47" xr10:uidLastSave="{00000000-0000-0000-0000-000000000000}"/>
  <bookViews>
    <workbookView xWindow="0" yWindow="0" windowWidth="28800" windowHeight="18000" activeTab="2" xr2:uid="{B7B3BF92-9327-2F43-89B0-AC8B518ACE6C}"/>
  </bookViews>
  <sheets>
    <sheet name="INTRO " sheetId="5" r:id="rId1"/>
    <sheet name="EVALUATION" sheetId="6" r:id="rId2"/>
    <sheet name="PTF OPT." sheetId="7" r:id="rId3"/>
    <sheet name="&gt;&gt;&gt;DATA SET" sheetId="4" r:id="rId4"/>
    <sheet name="URANIUM" sheetId="1" r:id="rId5"/>
    <sheet name="AI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7" l="1"/>
  <c r="D24" i="7"/>
  <c r="D23" i="7"/>
  <c r="C25" i="7"/>
  <c r="C24" i="7"/>
  <c r="C23" i="7"/>
  <c r="I10" i="7"/>
  <c r="J59" i="7"/>
  <c r="C19" i="7"/>
  <c r="C18" i="7"/>
  <c r="J108" i="7"/>
  <c r="J107" i="7"/>
  <c r="J106" i="7"/>
  <c r="J105" i="7"/>
  <c r="J104" i="7"/>
  <c r="J103" i="7"/>
  <c r="J102" i="7"/>
  <c r="J101" i="7"/>
  <c r="J100" i="7"/>
  <c r="J99" i="7"/>
  <c r="J98" i="7"/>
  <c r="J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8" i="7"/>
  <c r="J67" i="7"/>
  <c r="J66" i="7"/>
  <c r="J65" i="7"/>
  <c r="J64" i="7"/>
  <c r="J63" i="7"/>
  <c r="J62" i="7"/>
  <c r="J61" i="7"/>
  <c r="J60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J31" i="7"/>
  <c r="J30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C20" i="7" s="1"/>
  <c r="J9" i="7"/>
  <c r="J8" i="7"/>
  <c r="I17" i="7"/>
  <c r="I108" i="7"/>
  <c r="I107" i="7"/>
  <c r="I106" i="7"/>
  <c r="I105" i="7"/>
  <c r="I104" i="7"/>
  <c r="I103" i="7"/>
  <c r="I102" i="7"/>
  <c r="I101" i="7"/>
  <c r="I100" i="7"/>
  <c r="I99" i="7"/>
  <c r="I98" i="7"/>
  <c r="I97" i="7"/>
  <c r="I96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9" i="7"/>
  <c r="I68" i="7"/>
  <c r="I67" i="7"/>
  <c r="I66" i="7"/>
  <c r="I65" i="7"/>
  <c r="I64" i="7"/>
  <c r="I63" i="7"/>
  <c r="I62" i="7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6" i="7"/>
  <c r="I15" i="7"/>
  <c r="I14" i="7"/>
  <c r="I13" i="7"/>
  <c r="I12" i="7"/>
  <c r="I11" i="7"/>
  <c r="I9" i="7"/>
  <c r="I8" i="7"/>
  <c r="C7" i="6"/>
  <c r="C6" i="7" s="1"/>
  <c r="C13" i="7"/>
  <c r="C11" i="7"/>
  <c r="C10" i="7"/>
  <c r="C7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" i="7"/>
  <c r="G11" i="7"/>
  <c r="G12" i="7"/>
  <c r="G9" i="7"/>
  <c r="G8" i="7"/>
  <c r="D16" i="6"/>
  <c r="D18" i="6"/>
  <c r="C10" i="6"/>
  <c r="E10" i="6"/>
  <c r="D3" i="2"/>
  <c r="D145" i="2"/>
  <c r="D145" i="1"/>
  <c r="D3" i="1"/>
  <c r="D11" i="1"/>
  <c r="C11" i="6"/>
  <c r="C14" i="6" s="1"/>
  <c r="E6" i="6"/>
  <c r="E7" i="6" s="1"/>
  <c r="C6" i="6"/>
  <c r="D4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0" i="1"/>
  <c r="D9" i="1"/>
  <c r="D8" i="1"/>
  <c r="D7" i="1"/>
  <c r="D6" i="1"/>
  <c r="D5" i="1"/>
  <c r="H108" i="7" l="1"/>
  <c r="H100" i="7"/>
  <c r="H92" i="7"/>
  <c r="H84" i="7"/>
  <c r="H76" i="7"/>
  <c r="H68" i="7"/>
  <c r="H60" i="7"/>
  <c r="H52" i="7"/>
  <c r="H44" i="7"/>
  <c r="H36" i="7"/>
  <c r="H28" i="7"/>
  <c r="H20" i="7"/>
  <c r="H12" i="7"/>
  <c r="H107" i="7"/>
  <c r="H99" i="7"/>
  <c r="H91" i="7"/>
  <c r="H83" i="7"/>
  <c r="H75" i="7"/>
  <c r="H67" i="7"/>
  <c r="H59" i="7"/>
  <c r="H51" i="7"/>
  <c r="H43" i="7"/>
  <c r="H35" i="7"/>
  <c r="H27" i="7"/>
  <c r="H19" i="7"/>
  <c r="H11" i="7"/>
  <c r="H106" i="7"/>
  <c r="H98" i="7"/>
  <c r="H90" i="7"/>
  <c r="H82" i="7"/>
  <c r="H74" i="7"/>
  <c r="H66" i="7"/>
  <c r="H58" i="7"/>
  <c r="H50" i="7"/>
  <c r="H42" i="7"/>
  <c r="H34" i="7"/>
  <c r="H26" i="7"/>
  <c r="H18" i="7"/>
  <c r="H10" i="7"/>
  <c r="H97" i="7"/>
  <c r="H81" i="7"/>
  <c r="H73" i="7"/>
  <c r="H65" i="7"/>
  <c r="H49" i="7"/>
  <c r="H41" i="7"/>
  <c r="H33" i="7"/>
  <c r="H25" i="7"/>
  <c r="H9" i="7"/>
  <c r="H105" i="7"/>
  <c r="H89" i="7"/>
  <c r="H57" i="7"/>
  <c r="H17" i="7"/>
  <c r="H104" i="7"/>
  <c r="H96" i="7"/>
  <c r="H88" i="7"/>
  <c r="H80" i="7"/>
  <c r="H72" i="7"/>
  <c r="H64" i="7"/>
  <c r="H56" i="7"/>
  <c r="H48" i="7"/>
  <c r="H40" i="7"/>
  <c r="H32" i="7"/>
  <c r="H24" i="7"/>
  <c r="H16" i="7"/>
  <c r="H8" i="7"/>
  <c r="H21" i="7"/>
  <c r="H103" i="7"/>
  <c r="H95" i="7"/>
  <c r="H87" i="7"/>
  <c r="H79" i="7"/>
  <c r="H71" i="7"/>
  <c r="H63" i="7"/>
  <c r="H55" i="7"/>
  <c r="H47" i="7"/>
  <c r="H39" i="7"/>
  <c r="H31" i="7"/>
  <c r="H23" i="7"/>
  <c r="H15" i="7"/>
  <c r="H102" i="7"/>
  <c r="H94" i="7"/>
  <c r="H86" i="7"/>
  <c r="H78" i="7"/>
  <c r="H70" i="7"/>
  <c r="H62" i="7"/>
  <c r="H54" i="7"/>
  <c r="H46" i="7"/>
  <c r="H38" i="7"/>
  <c r="H30" i="7"/>
  <c r="H22" i="7"/>
  <c r="H14" i="7"/>
  <c r="H101" i="7"/>
  <c r="H93" i="7"/>
  <c r="H85" i="7"/>
  <c r="H77" i="7"/>
  <c r="H69" i="7"/>
  <c r="H61" i="7"/>
  <c r="H53" i="7"/>
  <c r="H45" i="7"/>
  <c r="H37" i="7"/>
  <c r="H29" i="7"/>
  <c r="H13" i="7"/>
  <c r="D19" i="6"/>
  <c r="E11" i="6"/>
  <c r="E14" i="6" s="1"/>
</calcChain>
</file>

<file path=xl/sharedStrings.xml><?xml version="1.0" encoding="utf-8"?>
<sst xmlns="http://schemas.openxmlformats.org/spreadsheetml/2006/main" count="73" uniqueCount="55">
  <si>
    <t>Date</t>
  </si>
  <si>
    <t>Adj Close</t>
  </si>
  <si>
    <t xml:space="preserve">TO DO LIST AND GENERAL INFO </t>
  </si>
  <si>
    <t>SECURITIES</t>
  </si>
  <si>
    <t>NUCL</t>
  </si>
  <si>
    <t>XTRACKERS ARTIFICIAL INTELLIGENCE &amp; BIG DATA</t>
  </si>
  <si>
    <t>VAN ECK URANIUM &amp; NUCLEAR TECHNOLOGIES</t>
  </si>
  <si>
    <t>XAIX</t>
  </si>
  <si>
    <t>TICKER</t>
  </si>
  <si>
    <t>SOURCE</t>
  </si>
  <si>
    <t>YFINANCE</t>
  </si>
  <si>
    <t>AVG WEEKLY AND ANNUALIZED RETURNS</t>
  </si>
  <si>
    <t>ANNUALIZED VOLATILITY</t>
  </si>
  <si>
    <t xml:space="preserve">CORRELATION </t>
  </si>
  <si>
    <t>EVALUATION</t>
  </si>
  <si>
    <t>returns</t>
  </si>
  <si>
    <t>weekly</t>
  </si>
  <si>
    <t>annualized returns</t>
  </si>
  <si>
    <t>correlation</t>
  </si>
  <si>
    <t>variance</t>
  </si>
  <si>
    <t xml:space="preserve">logn </t>
  </si>
  <si>
    <t>logn returns</t>
  </si>
  <si>
    <t>annualized variance</t>
  </si>
  <si>
    <t>volatility</t>
  </si>
  <si>
    <t>annualized volatility</t>
  </si>
  <si>
    <t>R</t>
  </si>
  <si>
    <t>DATE</t>
  </si>
  <si>
    <t>TIME</t>
  </si>
  <si>
    <t xml:space="preserve">DATE OF EVALUATION </t>
  </si>
  <si>
    <t>-</t>
  </si>
  <si>
    <t>RANGE OF DATA</t>
  </si>
  <si>
    <t>X</t>
  </si>
  <si>
    <t>PERFORMANCE AND RISK (UNDER EVALUATION TAB)</t>
  </si>
  <si>
    <t>EFFICIENT FRONTIER (UNDER PTF OPT.)</t>
  </si>
  <si>
    <t>SHARPE RATIO OPTIMIZATION</t>
  </si>
  <si>
    <t>PORTFOLIO OPTIMIZATION</t>
  </si>
  <si>
    <t>avg weekly logn</t>
  </si>
  <si>
    <t>FORMULAS</t>
  </si>
  <si>
    <t>WEEKLY R = LOGN(PT+1/PT)</t>
  </si>
  <si>
    <t>YEARLY R = EXP^(AVG WEEKLY*52)-1</t>
  </si>
  <si>
    <t>ST. DEV. = SQRT(VAR)</t>
  </si>
  <si>
    <t>covariance (weekly)</t>
  </si>
  <si>
    <t>ST.DEV. P = SQRT ( W1^2 ST.DEV. 1^2 + W2^2 ST.DEV. 2^2 + 2 W1 W2 ST.DEV.1 ST.DEV.2 CORR)</t>
  </si>
  <si>
    <t>return</t>
  </si>
  <si>
    <t>rf : bund10yrs</t>
  </si>
  <si>
    <t>PORTFOLIOS</t>
  </si>
  <si>
    <t>W NUCL</t>
  </si>
  <si>
    <t>W XAIX</t>
  </si>
  <si>
    <t>RETURN</t>
  </si>
  <si>
    <t>ST. DEV.</t>
  </si>
  <si>
    <t>SHARPE RATIO</t>
  </si>
  <si>
    <t>ST. DEV</t>
  </si>
  <si>
    <t>max Sharpe PTF</t>
  </si>
  <si>
    <t>CAPITAL MARKET LINE</t>
  </si>
  <si>
    <t>ST.DEV.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</si>
</sst>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\ hh:mm:ss"/>
    <numFmt numFmtId="165" formatCode="0.0%"/>
    <numFmt numFmtId="166" formatCode="0.000%"/>
    <numFmt numFmtId="167" formatCode="0.0000%"/>
    <numFmt numFmtId="168" formatCode="0.0"/>
    <numFmt numFmtId="170" formatCode="0.00000%"/>
    <numFmt numFmtId="171" formatCode="0.00000000"/>
    <numFmt numFmtId="181" formatCode="0.000000000%"/>
  </numFmts>
  <fonts count="1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1"/>
      <name val="Calibri"/>
      <family val="2"/>
    </font>
    <font>
      <sz val="18"/>
      <color theme="0"/>
      <name val="Aptos Narrow (Corpo)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0"/>
      <name val="Aptos Narrow (Corpo)"/>
    </font>
    <font>
      <sz val="18"/>
      <color theme="1"/>
      <name val="Aptos Narrow (Corpo)"/>
    </font>
    <font>
      <b/>
      <sz val="18"/>
      <color theme="1"/>
      <name val="Aptos Narrow (Corpo)"/>
    </font>
    <font>
      <b/>
      <sz val="18"/>
      <color theme="1"/>
      <name val="Aptos Narrow"/>
      <scheme val="minor"/>
    </font>
    <font>
      <sz val="18"/>
      <color theme="1"/>
      <name val="Aptos Narrow"/>
      <scheme val="minor"/>
    </font>
    <font>
      <i/>
      <sz val="18"/>
      <color theme="1"/>
      <name val="Aptos Narrow"/>
      <scheme val="minor"/>
    </font>
    <font>
      <b/>
      <i/>
      <sz val="18"/>
      <color theme="1"/>
      <name val="Aptos Narrow"/>
      <scheme val="minor"/>
    </font>
    <font>
      <sz val="18"/>
      <color theme="3"/>
      <name val="Aptos Narrow"/>
      <family val="2"/>
      <scheme val="minor"/>
    </font>
    <font>
      <sz val="18"/>
      <color theme="4" tint="0.39997558519241921"/>
      <name val="Aptos Narrow"/>
      <family val="2"/>
      <scheme val="minor"/>
    </font>
    <font>
      <b/>
      <i/>
      <sz val="18"/>
      <color rgb="FFFF0000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86">
    <xf numFmtId="0" fontId="0" fillId="0" borderId="0" xfId="0"/>
    <xf numFmtId="0" fontId="3" fillId="0" borderId="2" xfId="0" applyFont="1" applyBorder="1" applyAlignment="1">
      <alignment horizontal="center" vertical="top"/>
    </xf>
    <xf numFmtId="164" fontId="3" fillId="0" borderId="2" xfId="0" applyNumberFormat="1" applyFont="1" applyBorder="1" applyAlignment="1">
      <alignment horizontal="center" vertical="top"/>
    </xf>
    <xf numFmtId="0" fontId="0" fillId="3" borderId="0" xfId="0" applyFill="1"/>
    <xf numFmtId="0" fontId="4" fillId="3" borderId="0" xfId="0" applyFont="1" applyFill="1"/>
    <xf numFmtId="0" fontId="5" fillId="4" borderId="0" xfId="0" applyFont="1" applyFill="1"/>
    <xf numFmtId="0" fontId="6" fillId="4" borderId="0" xfId="0" applyFont="1" applyFill="1"/>
    <xf numFmtId="0" fontId="8" fillId="0" borderId="0" xfId="0" applyFont="1"/>
    <xf numFmtId="0" fontId="6" fillId="0" borderId="0" xfId="0" applyFont="1"/>
    <xf numFmtId="0" fontId="10" fillId="0" borderId="0" xfId="0" applyFont="1"/>
    <xf numFmtId="0" fontId="2" fillId="5" borderId="0" xfId="0" applyFont="1" applyFill="1"/>
    <xf numFmtId="166" fontId="6" fillId="0" borderId="0" xfId="1" applyNumberFormat="1" applyFont="1"/>
    <xf numFmtId="0" fontId="0" fillId="5" borderId="0" xfId="0" applyFill="1"/>
    <xf numFmtId="0" fontId="6" fillId="5" borderId="3" xfId="0" applyFont="1" applyFill="1" applyBorder="1"/>
    <xf numFmtId="0" fontId="6" fillId="5" borderId="0" xfId="0" applyFont="1" applyFill="1"/>
    <xf numFmtId="0" fontId="6" fillId="5" borderId="4" xfId="0" applyFont="1" applyFill="1" applyBorder="1"/>
    <xf numFmtId="0" fontId="10" fillId="5" borderId="0" xfId="0" applyFont="1" applyFill="1"/>
    <xf numFmtId="0" fontId="9" fillId="5" borderId="0" xfId="0" applyFont="1" applyFill="1" applyAlignment="1">
      <alignment horizontal="right"/>
    </xf>
    <xf numFmtId="0" fontId="11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10" fillId="5" borderId="0" xfId="0" applyFont="1" applyFill="1" applyAlignment="1">
      <alignment horizontal="right"/>
    </xf>
    <xf numFmtId="0" fontId="12" fillId="5" borderId="0" xfId="0" applyFont="1" applyFill="1" applyAlignment="1">
      <alignment horizontal="center"/>
    </xf>
    <xf numFmtId="165" fontId="13" fillId="5" borderId="0" xfId="1" applyNumberFormat="1" applyFont="1" applyFill="1" applyAlignment="1">
      <alignment horizontal="center"/>
    </xf>
    <xf numFmtId="0" fontId="6" fillId="3" borderId="0" xfId="0" applyFont="1" applyFill="1"/>
    <xf numFmtId="14" fontId="6" fillId="0" borderId="0" xfId="0" applyNumberFormat="1" applyFont="1"/>
    <xf numFmtId="0" fontId="6" fillId="0" borderId="0" xfId="0" applyFont="1" applyAlignment="1">
      <alignment horizontal="center"/>
    </xf>
    <xf numFmtId="17" fontId="10" fillId="0" borderId="0" xfId="0" applyNumberFormat="1" applyFont="1"/>
    <xf numFmtId="0" fontId="10" fillId="0" borderId="0" xfId="0" applyFont="1" applyAlignment="1">
      <alignment horizontal="center"/>
    </xf>
    <xf numFmtId="0" fontId="7" fillId="3" borderId="0" xfId="0" applyFont="1" applyFill="1"/>
    <xf numFmtId="0" fontId="2" fillId="3" borderId="0" xfId="0" applyFont="1" applyFill="1"/>
    <xf numFmtId="0" fontId="5" fillId="3" borderId="0" xfId="0" applyFont="1" applyFill="1"/>
    <xf numFmtId="0" fontId="5" fillId="0" borderId="0" xfId="0" applyFont="1"/>
    <xf numFmtId="0" fontId="14" fillId="3" borderId="0" xfId="0" applyFont="1" applyFill="1"/>
    <xf numFmtId="0" fontId="15" fillId="4" borderId="0" xfId="0" applyFont="1" applyFill="1"/>
    <xf numFmtId="0" fontId="10" fillId="5" borderId="3" xfId="0" applyFont="1" applyFill="1" applyBorder="1" applyAlignment="1">
      <alignment horizontal="center"/>
    </xf>
    <xf numFmtId="167" fontId="6" fillId="0" borderId="0" xfId="0" applyNumberFormat="1" applyFont="1"/>
    <xf numFmtId="9" fontId="6" fillId="0" borderId="0" xfId="1" applyFont="1"/>
    <xf numFmtId="9" fontId="0" fillId="0" borderId="0" xfId="1" applyFont="1"/>
    <xf numFmtId="165" fontId="6" fillId="0" borderId="0" xfId="1" applyNumberFormat="1" applyFont="1"/>
    <xf numFmtId="181" fontId="6" fillId="0" borderId="0" xfId="1" applyNumberFormat="1" applyFont="1"/>
    <xf numFmtId="166" fontId="10" fillId="5" borderId="0" xfId="1" applyNumberFormat="1" applyFont="1" applyFill="1"/>
    <xf numFmtId="171" fontId="6" fillId="0" borderId="0" xfId="0" applyNumberFormat="1" applyFont="1"/>
    <xf numFmtId="0" fontId="11" fillId="5" borderId="4" xfId="0" applyFont="1" applyFill="1" applyBorder="1" applyAlignment="1">
      <alignment horizontal="right"/>
    </xf>
    <xf numFmtId="165" fontId="11" fillId="5" borderId="4" xfId="1" applyNumberFormat="1" applyFont="1" applyFill="1" applyBorder="1" applyAlignment="1">
      <alignment horizontal="center"/>
    </xf>
    <xf numFmtId="167" fontId="11" fillId="5" borderId="0" xfId="1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165" fontId="16" fillId="5" borderId="0" xfId="1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10" fontId="16" fillId="5" borderId="0" xfId="1" applyNumberFormat="1" applyFont="1" applyFill="1" applyAlignment="1">
      <alignment horizontal="center"/>
    </xf>
    <xf numFmtId="168" fontId="16" fillId="5" borderId="0" xfId="1" applyNumberFormat="1" applyFont="1" applyFill="1" applyAlignment="1">
      <alignment horizontal="center"/>
    </xf>
    <xf numFmtId="0" fontId="11" fillId="2" borderId="1" xfId="2" applyFont="1"/>
    <xf numFmtId="0" fontId="10" fillId="2" borderId="1" xfId="2" applyFont="1" applyAlignment="1">
      <alignment horizontal="right"/>
    </xf>
    <xf numFmtId="0" fontId="11" fillId="2" borderId="1" xfId="2" applyFont="1" applyAlignment="1">
      <alignment horizontal="right"/>
    </xf>
    <xf numFmtId="168" fontId="11" fillId="2" borderId="1" xfId="2" applyNumberFormat="1" applyFont="1"/>
    <xf numFmtId="14" fontId="11" fillId="2" borderId="1" xfId="2" applyNumberFormat="1" applyFont="1"/>
    <xf numFmtId="165" fontId="11" fillId="2" borderId="1" xfId="2" applyNumberFormat="1" applyFont="1"/>
    <xf numFmtId="10" fontId="11" fillId="2" borderId="1" xfId="2" applyNumberFormat="1" applyFont="1"/>
    <xf numFmtId="9" fontId="6" fillId="0" borderId="0" xfId="1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0" xfId="0" applyFont="1" applyFill="1"/>
    <xf numFmtId="0" fontId="0" fillId="6" borderId="0" xfId="0" applyFill="1"/>
    <xf numFmtId="0" fontId="5" fillId="7" borderId="0" xfId="0" applyFont="1" applyFill="1"/>
    <xf numFmtId="0" fontId="0" fillId="7" borderId="0" xfId="0" applyFill="1"/>
    <xf numFmtId="165" fontId="0" fillId="0" borderId="0" xfId="0" applyNumberFormat="1"/>
    <xf numFmtId="165" fontId="6" fillId="0" borderId="0" xfId="0" applyNumberFormat="1" applyFont="1"/>
    <xf numFmtId="166" fontId="6" fillId="0" borderId="0" xfId="0" applyNumberFormat="1" applyFont="1" applyAlignment="1">
      <alignment horizontal="center"/>
    </xf>
    <xf numFmtId="0" fontId="0" fillId="8" borderId="6" xfId="0" applyFill="1" applyBorder="1"/>
    <xf numFmtId="0" fontId="6" fillId="0" borderId="7" xfId="0" applyFont="1" applyBorder="1"/>
    <xf numFmtId="165" fontId="6" fillId="0" borderId="8" xfId="0" applyNumberFormat="1" applyFont="1" applyBorder="1"/>
    <xf numFmtId="0" fontId="6" fillId="0" borderId="9" xfId="0" applyFont="1" applyBorder="1"/>
    <xf numFmtId="170" fontId="6" fillId="0" borderId="10" xfId="0" applyNumberFormat="1" applyFont="1" applyBorder="1"/>
    <xf numFmtId="9" fontId="6" fillId="0" borderId="7" xfId="1" applyFont="1" applyBorder="1"/>
    <xf numFmtId="10" fontId="6" fillId="0" borderId="0" xfId="1" applyNumberFormat="1" applyFont="1" applyBorder="1" applyAlignment="1">
      <alignment horizontal="center"/>
    </xf>
    <xf numFmtId="9" fontId="6" fillId="0" borderId="9" xfId="1" applyFont="1" applyBorder="1"/>
    <xf numFmtId="10" fontId="6" fillId="0" borderId="12" xfId="1" applyNumberFormat="1" applyFont="1" applyBorder="1" applyAlignment="1">
      <alignment horizontal="center"/>
    </xf>
    <xf numFmtId="165" fontId="6" fillId="0" borderId="10" xfId="0" applyNumberFormat="1" applyFont="1" applyBorder="1"/>
    <xf numFmtId="0" fontId="5" fillId="9" borderId="5" xfId="0" applyFont="1" applyFill="1" applyBorder="1"/>
    <xf numFmtId="0" fontId="5" fillId="9" borderId="11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9" fontId="6" fillId="8" borderId="0" xfId="1" applyFont="1" applyFill="1" applyAlignment="1">
      <alignment horizontal="center"/>
    </xf>
    <xf numFmtId="165" fontId="6" fillId="8" borderId="0" xfId="0" applyNumberFormat="1" applyFont="1" applyFill="1"/>
    <xf numFmtId="165" fontId="6" fillId="8" borderId="0" xfId="1" applyNumberFormat="1" applyFont="1" applyFill="1"/>
    <xf numFmtId="166" fontId="6" fillId="8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0" xfId="0" applyFont="1" applyFill="1"/>
    <xf numFmtId="0" fontId="5" fillId="8" borderId="5" xfId="0" applyFont="1" applyFill="1" applyBorder="1"/>
  </cellXfs>
  <cellStyles count="3">
    <cellStyle name="Normale" xfId="0" builtinId="0"/>
    <cellStyle name="Nota" xfId="2" builtinId="10"/>
    <cellStyle name="Percentuale" xfId="1" builtinId="5"/>
  </cellStyles>
  <dxfs count="0"/>
  <tableStyles count="0" defaultTableStyle="TableStyleMedium2" defaultPivotStyle="PivotStyleLight16"/>
  <colors>
    <mruColors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'PTF OPT.'!$I$8:$I$108</c:f>
              <c:numCache>
                <c:formatCode>0.0%</c:formatCode>
                <c:ptCount val="101"/>
                <c:pt idx="0">
                  <c:v>0.2409078260501519</c:v>
                </c:pt>
                <c:pt idx="1">
                  <c:v>0.23990494510484472</c:v>
                </c:pt>
                <c:pt idx="2">
                  <c:v>0.23894708518550276</c:v>
                </c:pt>
                <c:pt idx="3">
                  <c:v>0.23803478979106882</c:v>
                </c:pt>
                <c:pt idx="4">
                  <c:v>0.23716858472919591</c:v>
                </c:pt>
                <c:pt idx="5">
                  <c:v>0.23634897675547967</c:v>
                </c:pt>
                <c:pt idx="6">
                  <c:v>0.23557645222648171</c:v>
                </c:pt>
                <c:pt idx="7">
                  <c:v>0.23485147577396745</c:v>
                </c:pt>
                <c:pt idx="8">
                  <c:v>0.23417448900797472</c:v>
                </c:pt>
                <c:pt idx="9">
                  <c:v>0.23354590925645166</c:v>
                </c:pt>
                <c:pt idx="10">
                  <c:v>0.23296612834925273</c:v>
                </c:pt>
                <c:pt idx="11">
                  <c:v>0.23243551145425109</c:v>
                </c:pt>
                <c:pt idx="12">
                  <c:v>0.23195439597321521</c:v>
                </c:pt>
                <c:pt idx="13">
                  <c:v>0.23152309050489978</c:v>
                </c:pt>
                <c:pt idx="14">
                  <c:v>0.23114187388251817</c:v>
                </c:pt>
                <c:pt idx="15">
                  <c:v>0.23081099429239699</c:v>
                </c:pt>
                <c:pt idx="16">
                  <c:v>0.23053066848015893</c:v>
                </c:pt>
                <c:pt idx="17">
                  <c:v>0.23030108105025046</c:v>
                </c:pt>
                <c:pt idx="18">
                  <c:v>0.23012238386402173</c:v>
                </c:pt>
                <c:pt idx="19">
                  <c:v>0.22999469554089141</c:v>
                </c:pt>
                <c:pt idx="20">
                  <c:v>0.22991810106639179</c:v>
                </c:pt>
                <c:pt idx="21">
                  <c:v>0.22989265151010116</c:v>
                </c:pt>
                <c:pt idx="22">
                  <c:v>0.22991836385564146</c:v>
                </c:pt>
                <c:pt idx="23">
                  <c:v>0.22999522094405894</c:v>
                </c:pt>
                <c:pt idx="24">
                  <c:v>0.23012317153102793</c:v>
                </c:pt>
                <c:pt idx="25">
                  <c:v>0.23030213045743275</c:v>
                </c:pt>
                <c:pt idx="26">
                  <c:v>0.23053197893200605</c:v>
                </c:pt>
                <c:pt idx="27">
                  <c:v>0.23081256492384125</c:v>
                </c:pt>
                <c:pt idx="28">
                  <c:v>0.23114370366176759</c:v>
                </c:pt>
                <c:pt idx="29">
                  <c:v>0.2315251782367885</c:v>
                </c:pt>
                <c:pt idx="30">
                  <c:v>0.23195674030304742</c:v>
                </c:pt>
                <c:pt idx="31">
                  <c:v>0.23243811087210961</c:v>
                </c:pt>
                <c:pt idx="32">
                  <c:v>0.23296898119474174</c:v>
                </c:pt>
                <c:pt idx="33">
                  <c:v>0.23354901372383863</c:v>
                </c:pt>
                <c:pt idx="34">
                  <c:v>0.23417784315169668</c:v>
                </c:pt>
                <c:pt idx="35">
                  <c:v>0.23485507751446338</c:v>
                </c:pt>
                <c:pt idx="36">
                  <c:v>0.23558029935631203</c:v>
                </c:pt>
                <c:pt idx="37">
                  <c:v>0.23635306694569383</c:v>
                </c:pt>
                <c:pt idx="38">
                  <c:v>0.2371729155359075</c:v>
                </c:pt>
                <c:pt idx="39">
                  <c:v>0.23803935866219864</c:v>
                </c:pt>
                <c:pt idx="40">
                  <c:v>0.23895188946765</c:v>
                </c:pt>
                <c:pt idx="41">
                  <c:v>0.23990998205024786</c:v>
                </c:pt>
                <c:pt idx="42">
                  <c:v>0.24091309282370171</c:v>
                </c:pt>
                <c:pt idx="43">
                  <c:v>0.24196066188484824</c:v>
                </c:pt>
                <c:pt idx="44">
                  <c:v>0.24305211438077889</c:v>
                </c:pt>
                <c:pt idx="45">
                  <c:v>0.24418686186918748</c:v>
                </c:pt>
                <c:pt idx="46">
                  <c:v>0.2453643036658289</c:v>
                </c:pt>
                <c:pt idx="47">
                  <c:v>0.24658382817340965</c:v>
                </c:pt>
                <c:pt idx="48">
                  <c:v>0.2478448141866825</c:v>
                </c:pt>
                <c:pt idx="49">
                  <c:v>0.24914663216898955</c:v>
                </c:pt>
                <c:pt idx="50">
                  <c:v>0.25048864549597744</c:v>
                </c:pt>
                <c:pt idx="51">
                  <c:v>0.25187021166269374</c:v>
                </c:pt>
                <c:pt idx="52">
                  <c:v>0.25329068345075767</c:v>
                </c:pt>
                <c:pt idx="53">
                  <c:v>0.25474941005277074</c:v>
                </c:pt>
                <c:pt idx="54">
                  <c:v>0.2562457381516004</c:v>
                </c:pt>
                <c:pt idx="55">
                  <c:v>0.25777901295261307</c:v>
                </c:pt>
                <c:pt idx="56">
                  <c:v>0.25934857916736193</c:v>
                </c:pt>
                <c:pt idx="57">
                  <c:v>0.26095378194763991</c:v>
                </c:pt>
                <c:pt idx="58">
                  <c:v>0.26259396776918625</c:v>
                </c:pt>
                <c:pt idx="59">
                  <c:v>0.26426848526468971</c:v>
                </c:pt>
                <c:pt idx="60">
                  <c:v>0.26597668600605517</c:v>
                </c:pt>
                <c:pt idx="61">
                  <c:v>0.26771792523619869</c:v>
                </c:pt>
                <c:pt idx="62">
                  <c:v>0.26949156255090267</c:v>
                </c:pt>
                <c:pt idx="63">
                  <c:v>0.27129696253150415</c:v>
                </c:pt>
                <c:pt idx="64">
                  <c:v>0.27313349532939873</c:v>
                </c:pt>
                <c:pt idx="65">
                  <c:v>0.27500053720353002</c:v>
                </c:pt>
                <c:pt idx="66">
                  <c:v>0.27689747101218981</c:v>
                </c:pt>
                <c:pt idx="67">
                  <c:v>0.27882368666059199</c:v>
                </c:pt>
                <c:pt idx="68">
                  <c:v>0.28077858150578811</c:v>
                </c:pt>
                <c:pt idx="69">
                  <c:v>0.28276156072058672</c:v>
                </c:pt>
                <c:pt idx="70">
                  <c:v>0.28477203761820202</c:v>
                </c:pt>
                <c:pt idx="71">
                  <c:v>0.28680943393940928</c:v>
                </c:pt>
                <c:pt idx="72">
                  <c:v>0.28887318010401564</c:v>
                </c:pt>
                <c:pt idx="73">
                  <c:v>0.29096271542847346</c:v>
                </c:pt>
                <c:pt idx="74">
                  <c:v>0.29307748831146285</c:v>
                </c:pt>
                <c:pt idx="75">
                  <c:v>0.29521695638926548</c:v>
                </c:pt>
                <c:pt idx="76">
                  <c:v>0.29738058666272821</c:v>
                </c:pt>
                <c:pt idx="77">
                  <c:v>0.29956785559758636</c:v>
                </c:pt>
                <c:pt idx="78">
                  <c:v>0.30177824919988078</c:v>
                </c:pt>
                <c:pt idx="79">
                  <c:v>0.30401126306815573</c:v>
                </c:pt>
                <c:pt idx="80">
                  <c:v>0.30626640242407671</c:v>
                </c:pt>
                <c:pt idx="81">
                  <c:v>0.30854318212305171</c:v>
                </c:pt>
                <c:pt idx="82">
                  <c:v>0.31084112664638158</c:v>
                </c:pt>
                <c:pt idx="83">
                  <c:v>0.31315977007640378</c:v>
                </c:pt>
                <c:pt idx="84">
                  <c:v>0.31549865605603039</c:v>
                </c:pt>
                <c:pt idx="85">
                  <c:v>0.31785733773401814</c:v>
                </c:pt>
                <c:pt idx="86">
                  <c:v>0.32023537769724175</c:v>
                </c:pt>
                <c:pt idx="87">
                  <c:v>0.32263234789117712</c:v>
                </c:pt>
                <c:pt idx="88">
                  <c:v>0.32504782952973704</c:v>
                </c:pt>
                <c:pt idx="89">
                  <c:v>0.32748141299553712</c:v>
                </c:pt>
                <c:pt idx="90">
                  <c:v>0.32993269773160572</c:v>
                </c:pt>
                <c:pt idx="91">
                  <c:v>0.33240129212549357</c:v>
                </c:pt>
                <c:pt idx="92">
                  <c:v>0.33488681338667459</c:v>
                </c:pt>
                <c:pt idx="93">
                  <c:v>0.33738888741807443</c:v>
                </c:pt>
                <c:pt idx="94">
                  <c:v>0.33990714868250693</c:v>
                </c:pt>
                <c:pt idx="95">
                  <c:v>0.34244124006474264</c:v>
                </c:pt>
                <c:pt idx="96">
                  <c:v>0.34499081272988497</c:v>
                </c:pt>
                <c:pt idx="97">
                  <c:v>0.34755552597867795</c:v>
                </c:pt>
                <c:pt idx="98">
                  <c:v>0.35013504710032306</c:v>
                </c:pt>
                <c:pt idx="99">
                  <c:v>0.35272905122333836</c:v>
                </c:pt>
                <c:pt idx="100">
                  <c:v>0.35533722116494987</c:v>
                </c:pt>
              </c:numCache>
            </c:numRef>
          </c:xVal>
          <c:yVal>
            <c:numRef>
              <c:f>'PTF OPT.'!$H$8:$H$108</c:f>
              <c:numCache>
                <c:formatCode>0.0%</c:formatCode>
                <c:ptCount val="101"/>
                <c:pt idx="0">
                  <c:v>0.32189029804382763</c:v>
                </c:pt>
                <c:pt idx="1">
                  <c:v>0.32414839318682859</c:v>
                </c:pt>
                <c:pt idx="2">
                  <c:v>0.32640648832982949</c:v>
                </c:pt>
                <c:pt idx="3">
                  <c:v>0.32866458347283045</c:v>
                </c:pt>
                <c:pt idx="4">
                  <c:v>0.33092267861583136</c:v>
                </c:pt>
                <c:pt idx="5">
                  <c:v>0.33318077375883232</c:v>
                </c:pt>
                <c:pt idx="6">
                  <c:v>0.33543886890183316</c:v>
                </c:pt>
                <c:pt idx="7">
                  <c:v>0.33769696404483418</c:v>
                </c:pt>
                <c:pt idx="8">
                  <c:v>0.33995505918783508</c:v>
                </c:pt>
                <c:pt idx="9">
                  <c:v>0.34221315433083604</c:v>
                </c:pt>
                <c:pt idx="10">
                  <c:v>0.34447124947383695</c:v>
                </c:pt>
                <c:pt idx="11">
                  <c:v>0.34672934461683791</c:v>
                </c:pt>
                <c:pt idx="12">
                  <c:v>0.34898743975983881</c:v>
                </c:pt>
                <c:pt idx="13">
                  <c:v>0.35124553490283977</c:v>
                </c:pt>
                <c:pt idx="14">
                  <c:v>0.35350363004584068</c:v>
                </c:pt>
                <c:pt idx="15">
                  <c:v>0.35576172518884164</c:v>
                </c:pt>
                <c:pt idx="16">
                  <c:v>0.35801982033184254</c:v>
                </c:pt>
                <c:pt idx="17">
                  <c:v>0.3602779154748435</c:v>
                </c:pt>
                <c:pt idx="18">
                  <c:v>0.36253601061784446</c:v>
                </c:pt>
                <c:pt idx="19">
                  <c:v>0.36479410576084537</c:v>
                </c:pt>
                <c:pt idx="20">
                  <c:v>0.36705220090384627</c:v>
                </c:pt>
                <c:pt idx="21">
                  <c:v>0.36931029604684723</c:v>
                </c:pt>
                <c:pt idx="22">
                  <c:v>0.37156839118984814</c:v>
                </c:pt>
                <c:pt idx="23">
                  <c:v>0.3738264863328491</c:v>
                </c:pt>
                <c:pt idx="24">
                  <c:v>0.37608458147585</c:v>
                </c:pt>
                <c:pt idx="25">
                  <c:v>0.37834267661885096</c:v>
                </c:pt>
                <c:pt idx="26">
                  <c:v>0.38060077176185192</c:v>
                </c:pt>
                <c:pt idx="27">
                  <c:v>0.38285886690485282</c:v>
                </c:pt>
                <c:pt idx="28">
                  <c:v>0.38511696204785373</c:v>
                </c:pt>
                <c:pt idx="29">
                  <c:v>0.38737505719085463</c:v>
                </c:pt>
                <c:pt idx="30">
                  <c:v>0.38963315233385559</c:v>
                </c:pt>
                <c:pt idx="31">
                  <c:v>0.39189124747685655</c:v>
                </c:pt>
                <c:pt idx="32">
                  <c:v>0.39414934261985746</c:v>
                </c:pt>
                <c:pt idx="33">
                  <c:v>0.39640743776285842</c:v>
                </c:pt>
                <c:pt idx="34">
                  <c:v>0.39866553290585938</c:v>
                </c:pt>
                <c:pt idx="35">
                  <c:v>0.40092362804886028</c:v>
                </c:pt>
                <c:pt idx="36">
                  <c:v>0.40318172319186119</c:v>
                </c:pt>
                <c:pt idx="37">
                  <c:v>0.40543981833486215</c:v>
                </c:pt>
                <c:pt idx="38">
                  <c:v>0.40769791347786311</c:v>
                </c:pt>
                <c:pt idx="39">
                  <c:v>0.40995600862086401</c:v>
                </c:pt>
                <c:pt idx="40">
                  <c:v>0.41221410376386497</c:v>
                </c:pt>
                <c:pt idx="41">
                  <c:v>0.41447219890686593</c:v>
                </c:pt>
                <c:pt idx="42">
                  <c:v>0.41673029404986683</c:v>
                </c:pt>
                <c:pt idx="43">
                  <c:v>0.41898838919286774</c:v>
                </c:pt>
                <c:pt idx="44">
                  <c:v>0.4212464843358687</c:v>
                </c:pt>
                <c:pt idx="45">
                  <c:v>0.42350457947886966</c:v>
                </c:pt>
                <c:pt idx="46">
                  <c:v>0.42576267462187062</c:v>
                </c:pt>
                <c:pt idx="47">
                  <c:v>0.42802076976487147</c:v>
                </c:pt>
                <c:pt idx="48">
                  <c:v>0.43027886490787243</c:v>
                </c:pt>
                <c:pt idx="49">
                  <c:v>0.43253696005087339</c:v>
                </c:pt>
                <c:pt idx="50">
                  <c:v>0.43479505519387429</c:v>
                </c:pt>
                <c:pt idx="51">
                  <c:v>0.4370531503368752</c:v>
                </c:pt>
                <c:pt idx="52">
                  <c:v>0.43931124547987616</c:v>
                </c:pt>
                <c:pt idx="53">
                  <c:v>0.44156934062287712</c:v>
                </c:pt>
                <c:pt idx="54">
                  <c:v>0.44382743576587802</c:v>
                </c:pt>
                <c:pt idx="55">
                  <c:v>0.44608553090887892</c:v>
                </c:pt>
                <c:pt idx="56">
                  <c:v>0.44834362605187994</c:v>
                </c:pt>
                <c:pt idx="57">
                  <c:v>0.45060172119488084</c:v>
                </c:pt>
                <c:pt idx="58">
                  <c:v>0.45285981633788175</c:v>
                </c:pt>
                <c:pt idx="59">
                  <c:v>0.45511791148088265</c:v>
                </c:pt>
                <c:pt idx="60">
                  <c:v>0.45737600662388361</c:v>
                </c:pt>
                <c:pt idx="61">
                  <c:v>0.45963410176688457</c:v>
                </c:pt>
                <c:pt idx="62">
                  <c:v>0.46189219690988548</c:v>
                </c:pt>
                <c:pt idx="63">
                  <c:v>0.46415029205288644</c:v>
                </c:pt>
                <c:pt idx="64">
                  <c:v>0.46640838719588734</c:v>
                </c:pt>
                <c:pt idx="65">
                  <c:v>0.4686664823388883</c:v>
                </c:pt>
                <c:pt idx="66">
                  <c:v>0.47092457748188921</c:v>
                </c:pt>
                <c:pt idx="67">
                  <c:v>0.47318267262489017</c:v>
                </c:pt>
                <c:pt idx="68">
                  <c:v>0.47544076776789113</c:v>
                </c:pt>
                <c:pt idx="69">
                  <c:v>0.47769886291089203</c:v>
                </c:pt>
                <c:pt idx="70">
                  <c:v>0.47995695805389293</c:v>
                </c:pt>
                <c:pt idx="71">
                  <c:v>0.48221505319689389</c:v>
                </c:pt>
                <c:pt idx="72">
                  <c:v>0.4844731483398948</c:v>
                </c:pt>
                <c:pt idx="73">
                  <c:v>0.48673124348289576</c:v>
                </c:pt>
                <c:pt idx="74">
                  <c:v>0.48898933862589666</c:v>
                </c:pt>
                <c:pt idx="75">
                  <c:v>0.49124743376889762</c:v>
                </c:pt>
                <c:pt idx="76">
                  <c:v>0.49350552891189858</c:v>
                </c:pt>
                <c:pt idx="77">
                  <c:v>0.49576362405489949</c:v>
                </c:pt>
                <c:pt idx="78">
                  <c:v>0.49802171919790045</c:v>
                </c:pt>
                <c:pt idx="79">
                  <c:v>0.50027981434090141</c:v>
                </c:pt>
                <c:pt idx="80">
                  <c:v>0.50253790948390231</c:v>
                </c:pt>
                <c:pt idx="81">
                  <c:v>0.50479600462690322</c:v>
                </c:pt>
                <c:pt idx="82">
                  <c:v>0.50705409976990412</c:v>
                </c:pt>
                <c:pt idx="83">
                  <c:v>0.50931219491290514</c:v>
                </c:pt>
                <c:pt idx="84">
                  <c:v>0.51157029005590604</c:v>
                </c:pt>
                <c:pt idx="85">
                  <c:v>0.51382838519890695</c:v>
                </c:pt>
                <c:pt idx="86">
                  <c:v>0.51608648034190785</c:v>
                </c:pt>
                <c:pt idx="87">
                  <c:v>0.51834457548490886</c:v>
                </c:pt>
                <c:pt idx="88">
                  <c:v>0.52060267062790977</c:v>
                </c:pt>
                <c:pt idx="89">
                  <c:v>0.52286076577091067</c:v>
                </c:pt>
                <c:pt idx="90">
                  <c:v>0.52511886091391158</c:v>
                </c:pt>
                <c:pt idx="91">
                  <c:v>0.52737695605691259</c:v>
                </c:pt>
                <c:pt idx="92">
                  <c:v>0.5296350511999135</c:v>
                </c:pt>
                <c:pt idx="93">
                  <c:v>0.5318931463429144</c:v>
                </c:pt>
                <c:pt idx="94">
                  <c:v>0.53415124148591531</c:v>
                </c:pt>
                <c:pt idx="95">
                  <c:v>0.53640933662891621</c:v>
                </c:pt>
                <c:pt idx="96">
                  <c:v>0.53866743177191723</c:v>
                </c:pt>
                <c:pt idx="97">
                  <c:v>0.54092552691491813</c:v>
                </c:pt>
                <c:pt idx="98">
                  <c:v>0.54318362205791904</c:v>
                </c:pt>
                <c:pt idx="99">
                  <c:v>0.54544171720091994</c:v>
                </c:pt>
                <c:pt idx="100">
                  <c:v>0.54769981234392096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48-5D43-AF0E-494075CDBE00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'PTF OPT.'!$D$23:$D$25</c:f>
              <c:numCache>
                <c:formatCode>0.0%</c:formatCode>
                <c:ptCount val="3"/>
                <c:pt idx="0">
                  <c:v>0</c:v>
                </c:pt>
                <c:pt idx="1">
                  <c:v>0.25187021166269374</c:v>
                </c:pt>
                <c:pt idx="2">
                  <c:v>0.50374042332538749</c:v>
                </c:pt>
              </c:numCache>
            </c:numRef>
          </c:xVal>
          <c:yVal>
            <c:numRef>
              <c:f>'PTF OPT.'!$C$23:$C$25</c:f>
              <c:numCache>
                <c:formatCode>0.00%</c:formatCode>
                <c:ptCount val="3"/>
                <c:pt idx="0">
                  <c:v>2.8500000000000001E-2</c:v>
                </c:pt>
                <c:pt idx="1">
                  <c:v>0.4370531503368752</c:v>
                </c:pt>
                <c:pt idx="2">
                  <c:v>0.87410630067375039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448-5D43-AF0E-494075CDB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6354816"/>
        <c:axId val="1566356608"/>
      </c:scatterChart>
      <c:valAx>
        <c:axId val="1566354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6356608"/>
        <c:crosses val="autoZero"/>
        <c:crossBetween val="midCat"/>
      </c:valAx>
      <c:valAx>
        <c:axId val="15663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66354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774700</xdr:colOff>
      <xdr:row>7</xdr:row>
      <xdr:rowOff>127000</xdr:rowOff>
    </xdr:from>
    <xdr:to>
      <xdr:col>19</xdr:col>
      <xdr:colOff>571500</xdr:colOff>
      <xdr:row>23</xdr:row>
      <xdr:rowOff>228600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BC283BA7-AAA1-8872-8941-2565D0E90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BBA5D-6BFA-E740-AE6D-1818B5780FB5}">
  <sheetPr>
    <tabColor rgb="FF0070C0"/>
  </sheetPr>
  <dimension ref="A1:Q307"/>
  <sheetViews>
    <sheetView showGridLines="0" workbookViewId="0">
      <selection activeCell="B18" sqref="B18"/>
    </sheetView>
  </sheetViews>
  <sheetFormatPr baseColWidth="10" defaultRowHeight="16" x14ac:dyDescent="0.2"/>
  <cols>
    <col min="1" max="1" width="63.1640625" bestFit="1" customWidth="1"/>
    <col min="2" max="2" width="12.5" bestFit="1" customWidth="1"/>
  </cols>
  <sheetData>
    <row r="1" spans="1:17" ht="24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24" x14ac:dyDescent="0.3">
      <c r="A2" s="4" t="s">
        <v>2</v>
      </c>
      <c r="B2" s="23"/>
      <c r="C2" s="23"/>
      <c r="D2" s="23"/>
      <c r="E2" s="23"/>
      <c r="F2" s="23"/>
      <c r="G2" s="23"/>
      <c r="H2" s="23"/>
      <c r="I2" s="32"/>
      <c r="J2" s="32"/>
      <c r="K2" s="32"/>
      <c r="L2" s="32"/>
      <c r="M2" s="32"/>
      <c r="N2" s="23"/>
      <c r="O2" s="8"/>
      <c r="P2" s="8"/>
      <c r="Q2" s="8"/>
    </row>
    <row r="3" spans="1:17" ht="24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ht="24" x14ac:dyDescent="0.3">
      <c r="A4" s="5" t="s">
        <v>3</v>
      </c>
      <c r="B4" s="5"/>
      <c r="C4" s="5" t="s">
        <v>8</v>
      </c>
      <c r="D4" s="5" t="s">
        <v>9</v>
      </c>
      <c r="E4" s="5"/>
      <c r="F4" s="5"/>
      <c r="G4" s="5"/>
      <c r="H4" s="33"/>
      <c r="I4" s="33"/>
      <c r="J4" s="33"/>
      <c r="K4" s="33"/>
      <c r="L4" s="33"/>
      <c r="M4" s="33"/>
      <c r="N4" s="6"/>
      <c r="O4" s="8"/>
      <c r="P4" s="8"/>
      <c r="Q4" s="8"/>
    </row>
    <row r="5" spans="1:17" ht="24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14"/>
      <c r="N5" s="14"/>
      <c r="O5" s="8"/>
      <c r="P5" s="8"/>
      <c r="Q5" s="8"/>
    </row>
    <row r="6" spans="1:17" ht="24" x14ac:dyDescent="0.3">
      <c r="A6" s="8" t="s">
        <v>6</v>
      </c>
      <c r="B6" s="8"/>
      <c r="C6" s="9" t="s">
        <v>4</v>
      </c>
      <c r="D6" s="8" t="s">
        <v>10</v>
      </c>
      <c r="E6" s="8"/>
      <c r="F6" s="8"/>
      <c r="G6" s="8"/>
      <c r="H6" s="8"/>
      <c r="I6" s="8"/>
      <c r="J6" s="8"/>
      <c r="K6" s="8"/>
      <c r="L6" s="8"/>
      <c r="M6" s="14"/>
      <c r="N6" s="14"/>
      <c r="O6" s="8"/>
      <c r="P6" s="8"/>
      <c r="Q6" s="8"/>
    </row>
    <row r="7" spans="1:17" ht="24" x14ac:dyDescent="0.3">
      <c r="A7" s="8" t="s">
        <v>5</v>
      </c>
      <c r="B7" s="8"/>
      <c r="C7" s="9" t="s">
        <v>7</v>
      </c>
      <c r="D7" s="8" t="s">
        <v>10</v>
      </c>
      <c r="E7" s="8"/>
      <c r="F7" s="8"/>
      <c r="G7" s="8"/>
      <c r="H7" s="8"/>
      <c r="I7" s="8"/>
      <c r="J7" s="8"/>
      <c r="K7" s="8"/>
      <c r="L7" s="8"/>
      <c r="M7" s="14"/>
      <c r="N7" s="14"/>
      <c r="O7" s="8"/>
      <c r="P7" s="8"/>
      <c r="Q7" s="8"/>
    </row>
    <row r="8" spans="1:17" ht="24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14"/>
      <c r="N8" s="14"/>
      <c r="O8" s="8"/>
      <c r="P8" s="8"/>
      <c r="Q8" s="8"/>
    </row>
    <row r="9" spans="1:17" ht="24" x14ac:dyDescent="0.3">
      <c r="A9" s="5" t="s">
        <v>27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8"/>
      <c r="P9" s="8"/>
      <c r="Q9" s="8"/>
    </row>
    <row r="10" spans="1:17" ht="24" x14ac:dyDescent="0.3">
      <c r="A10" s="8"/>
      <c r="B10" s="8"/>
      <c r="C10" s="8"/>
      <c r="D10" s="8"/>
      <c r="E10" s="8"/>
      <c r="F10" s="8"/>
      <c r="G10" s="8"/>
      <c r="H10" s="8"/>
      <c r="I10" s="8"/>
      <c r="J10" s="8"/>
      <c r="K10" s="14"/>
      <c r="L10" s="14"/>
      <c r="M10" s="14"/>
      <c r="N10" s="14"/>
      <c r="O10" s="14"/>
      <c r="P10" s="8"/>
      <c r="Q10" s="8"/>
    </row>
    <row r="11" spans="1:17" ht="24" x14ac:dyDescent="0.3">
      <c r="A11" s="8" t="s">
        <v>28</v>
      </c>
      <c r="B11" s="24">
        <v>46038</v>
      </c>
      <c r="C11" s="8"/>
      <c r="D11" s="8"/>
      <c r="E11" s="8"/>
      <c r="F11" s="8"/>
      <c r="G11" s="8"/>
      <c r="H11" s="8"/>
      <c r="I11" s="8"/>
      <c r="J11" s="8"/>
      <c r="K11" s="14"/>
      <c r="L11" s="14"/>
      <c r="M11" s="14"/>
      <c r="N11" s="14"/>
      <c r="O11" s="14"/>
      <c r="P11" s="8"/>
      <c r="Q11" s="8"/>
    </row>
    <row r="12" spans="1:17" ht="24" x14ac:dyDescent="0.3">
      <c r="A12" s="8" t="s">
        <v>30</v>
      </c>
      <c r="B12" s="26">
        <v>45017</v>
      </c>
      <c r="C12" s="27" t="s">
        <v>29</v>
      </c>
      <c r="D12" s="26">
        <v>46023</v>
      </c>
      <c r="E12" s="8"/>
      <c r="F12" s="8"/>
      <c r="G12" s="8"/>
      <c r="H12" s="8"/>
      <c r="I12" s="8"/>
      <c r="J12" s="8"/>
      <c r="K12" s="14"/>
      <c r="L12" s="14"/>
      <c r="M12" s="14"/>
      <c r="N12" s="14"/>
      <c r="O12" s="14"/>
      <c r="P12" s="8"/>
      <c r="Q12" s="8"/>
    </row>
    <row r="13" spans="1:17" ht="24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14"/>
      <c r="L13" s="14"/>
      <c r="M13" s="14"/>
      <c r="N13" s="14"/>
      <c r="O13" s="14"/>
      <c r="P13" s="8"/>
      <c r="Q13" s="8"/>
    </row>
    <row r="14" spans="1:17" ht="24" x14ac:dyDescent="0.3">
      <c r="A14" s="5" t="s">
        <v>32</v>
      </c>
      <c r="B14" s="6"/>
      <c r="C14" s="6"/>
      <c r="D14" s="5" t="s">
        <v>37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8"/>
      <c r="P14" s="8"/>
      <c r="Q14" s="8"/>
    </row>
    <row r="15" spans="1:17" ht="24" x14ac:dyDescent="0.3">
      <c r="A15" s="8"/>
      <c r="B15" s="8"/>
      <c r="C15" s="8"/>
      <c r="D15" s="31"/>
      <c r="E15" s="8"/>
      <c r="F15" s="8"/>
      <c r="G15" s="8"/>
      <c r="H15" s="8"/>
      <c r="I15" s="8"/>
      <c r="J15" s="8"/>
      <c r="K15" s="8"/>
      <c r="L15" s="14"/>
      <c r="M15" s="14"/>
      <c r="N15" s="14"/>
      <c r="O15" s="14"/>
      <c r="P15" s="8"/>
      <c r="Q15" s="8"/>
    </row>
    <row r="16" spans="1:17" ht="24" x14ac:dyDescent="0.3">
      <c r="A16" s="8" t="s">
        <v>11</v>
      </c>
      <c r="B16" s="25" t="s">
        <v>31</v>
      </c>
      <c r="C16" s="8"/>
      <c r="D16" s="7" t="s">
        <v>38</v>
      </c>
      <c r="E16" s="8"/>
      <c r="F16" s="8"/>
      <c r="G16" s="8"/>
      <c r="H16" s="8" t="s">
        <v>39</v>
      </c>
      <c r="I16" s="8"/>
      <c r="J16" s="8"/>
      <c r="K16" s="8"/>
      <c r="L16" s="14"/>
      <c r="M16" s="14"/>
      <c r="N16" s="14"/>
      <c r="O16" s="14"/>
      <c r="P16" s="8"/>
      <c r="Q16" s="8"/>
    </row>
    <row r="17" spans="1:17" ht="24" x14ac:dyDescent="0.3">
      <c r="A17" s="8" t="s">
        <v>12</v>
      </c>
      <c r="B17" s="25" t="s">
        <v>31</v>
      </c>
      <c r="C17" s="8"/>
      <c r="D17" s="7" t="s">
        <v>40</v>
      </c>
      <c r="E17" s="8"/>
      <c r="F17" s="8"/>
      <c r="G17" s="8"/>
      <c r="H17" s="8"/>
      <c r="I17" s="8"/>
      <c r="J17" s="8"/>
      <c r="K17" s="8"/>
      <c r="L17" s="14"/>
      <c r="M17" s="14"/>
      <c r="N17" s="14"/>
      <c r="O17" s="14"/>
      <c r="P17" s="8"/>
      <c r="Q17" s="8"/>
    </row>
    <row r="18" spans="1:17" ht="24" x14ac:dyDescent="0.3">
      <c r="A18" s="8" t="s">
        <v>13</v>
      </c>
      <c r="B18" s="25" t="s">
        <v>31</v>
      </c>
      <c r="C18" s="8"/>
      <c r="D18" s="31"/>
      <c r="E18" s="8"/>
      <c r="F18" s="8"/>
      <c r="G18" s="8"/>
      <c r="H18" s="8"/>
      <c r="I18" s="8"/>
      <c r="J18" s="8"/>
      <c r="K18" s="8"/>
      <c r="L18" s="14"/>
      <c r="M18" s="14"/>
      <c r="N18" s="14"/>
      <c r="O18" s="14"/>
      <c r="P18" s="8"/>
      <c r="Q18" s="8"/>
    </row>
    <row r="19" spans="1:17" ht="24" x14ac:dyDescent="0.3">
      <c r="A19" s="8"/>
      <c r="B19" s="8"/>
      <c r="C19" s="8"/>
      <c r="D19" s="31"/>
      <c r="E19" s="8"/>
      <c r="F19" s="8"/>
      <c r="G19" s="8"/>
      <c r="H19" s="8"/>
      <c r="I19" s="8"/>
      <c r="J19" s="8"/>
      <c r="K19" s="8"/>
      <c r="L19" s="14"/>
      <c r="M19" s="14"/>
      <c r="N19" s="14"/>
      <c r="O19" s="14"/>
      <c r="P19" s="8"/>
      <c r="Q19" s="8"/>
    </row>
    <row r="20" spans="1:17" ht="24" x14ac:dyDescent="0.3">
      <c r="A20" s="5" t="s">
        <v>33</v>
      </c>
      <c r="B20" s="6"/>
      <c r="C20" s="6"/>
      <c r="D20" s="5" t="s">
        <v>37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  <c r="P20" s="8"/>
      <c r="Q20" s="8"/>
    </row>
    <row r="21" spans="1:17" ht="2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24" x14ac:dyDescent="0.3">
      <c r="A22" s="7" t="s">
        <v>34</v>
      </c>
      <c r="B22" s="8"/>
      <c r="C22" s="8"/>
      <c r="D22" s="8" t="s">
        <v>42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24" x14ac:dyDescent="0.3">
      <c r="A23" s="8"/>
      <c r="B23" s="25" t="s">
        <v>31</v>
      </c>
      <c r="C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2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2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2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2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2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24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24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24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2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2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2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2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24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4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24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24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2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2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2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2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2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2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2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2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2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24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24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24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2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2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2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24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2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24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24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24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2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2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24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24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2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24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24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2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24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24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24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24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24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24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24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24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24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2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24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2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2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2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ht="2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2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2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2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2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2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2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2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ht="24" x14ac:dyDescent="0.3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ht="24" x14ac:dyDescent="0.3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24" x14ac:dyDescent="0.3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ht="24" x14ac:dyDescent="0.3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ht="24" x14ac:dyDescent="0.3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ht="24" x14ac:dyDescent="0.3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24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ht="24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ht="24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ht="24" x14ac:dyDescent="0.3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ht="24" x14ac:dyDescent="0.3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ht="24" x14ac:dyDescent="0.3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ht="24" x14ac:dyDescent="0.3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ht="24" x14ac:dyDescent="0.3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ht="24" x14ac:dyDescent="0.3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 ht="24" x14ac:dyDescent="0.3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 ht="24" x14ac:dyDescent="0.3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ht="24" x14ac:dyDescent="0.3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ht="24" x14ac:dyDescent="0.3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ht="24" x14ac:dyDescent="0.3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ht="24" x14ac:dyDescent="0.3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ht="24" x14ac:dyDescent="0.3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ht="24" x14ac:dyDescent="0.3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ht="24" x14ac:dyDescent="0.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ht="24" x14ac:dyDescent="0.3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ht="24" x14ac:dyDescent="0.3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ht="24" x14ac:dyDescent="0.3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ht="24" x14ac:dyDescent="0.3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7" ht="24" x14ac:dyDescent="0.3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ht="24" x14ac:dyDescent="0.3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17" ht="24" x14ac:dyDescent="0.3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ht="24" x14ac:dyDescent="0.3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17" ht="24" x14ac:dyDescent="0.3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7" ht="24" x14ac:dyDescent="0.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17" ht="24" x14ac:dyDescent="0.3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ht="24" x14ac:dyDescent="0.3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ht="24" x14ac:dyDescent="0.3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7" ht="24" x14ac:dyDescent="0.3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7" ht="24" x14ac:dyDescent="0.3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ht="24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spans="1:17" ht="24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spans="1:17" ht="24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ht="24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17" ht="24" x14ac:dyDescent="0.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spans="1:17" ht="24" x14ac:dyDescent="0.3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1:17" ht="24" x14ac:dyDescent="0.3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spans="1:17" ht="24" x14ac:dyDescent="0.3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24" x14ac:dyDescent="0.3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spans="1:17" ht="24" x14ac:dyDescent="0.3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24" x14ac:dyDescent="0.3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ht="24" x14ac:dyDescent="0.3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24" x14ac:dyDescent="0.3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17" ht="24" x14ac:dyDescent="0.3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24" x14ac:dyDescent="0.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ht="24" x14ac:dyDescent="0.3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24" x14ac:dyDescent="0.3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ht="24" x14ac:dyDescent="0.3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24" x14ac:dyDescent="0.3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ht="24" x14ac:dyDescent="0.3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24" x14ac:dyDescent="0.3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ht="24" x14ac:dyDescent="0.3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24" x14ac:dyDescent="0.3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ht="24" x14ac:dyDescent="0.3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ht="24" x14ac:dyDescent="0.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ht="24" x14ac:dyDescent="0.3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17" ht="24" x14ac:dyDescent="0.3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ht="24" x14ac:dyDescent="0.3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ht="24" x14ac:dyDescent="0.3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ht="24" x14ac:dyDescent="0.3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ht="24" x14ac:dyDescent="0.3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ht="24" x14ac:dyDescent="0.3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ht="24" x14ac:dyDescent="0.3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ht="24" x14ac:dyDescent="0.3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ht="24" x14ac:dyDescent="0.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ht="24" x14ac:dyDescent="0.3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ht="24" x14ac:dyDescent="0.3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ht="24" x14ac:dyDescent="0.3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ht="24" x14ac:dyDescent="0.3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ht="24" x14ac:dyDescent="0.3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ht="24" x14ac:dyDescent="0.3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ht="24" x14ac:dyDescent="0.3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ht="24" x14ac:dyDescent="0.3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ht="24" x14ac:dyDescent="0.3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ht="24" x14ac:dyDescent="0.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ht="24" x14ac:dyDescent="0.3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ht="24" x14ac:dyDescent="0.3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ht="24" x14ac:dyDescent="0.3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ht="24" x14ac:dyDescent="0.3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1:17" ht="24" x14ac:dyDescent="0.3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ht="24" x14ac:dyDescent="0.3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ht="24" x14ac:dyDescent="0.3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ht="24" x14ac:dyDescent="0.3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ht="24" x14ac:dyDescent="0.3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ht="24" x14ac:dyDescent="0.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ht="24" x14ac:dyDescent="0.3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ht="24" x14ac:dyDescent="0.3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ht="24" x14ac:dyDescent="0.3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ht="24" x14ac:dyDescent="0.3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ht="24" x14ac:dyDescent="0.3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ht="24" x14ac:dyDescent="0.3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ht="24" x14ac:dyDescent="0.3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ht="24" x14ac:dyDescent="0.3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ht="24" x14ac:dyDescent="0.3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17" ht="24" x14ac:dyDescent="0.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ht="24" x14ac:dyDescent="0.3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ht="24" x14ac:dyDescent="0.3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ht="24" x14ac:dyDescent="0.3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17" ht="24" x14ac:dyDescent="0.3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ht="24" x14ac:dyDescent="0.3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ht="24" x14ac:dyDescent="0.3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ht="24" x14ac:dyDescent="0.3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ht="24" x14ac:dyDescent="0.3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ht="24" x14ac:dyDescent="0.3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ht="24" x14ac:dyDescent="0.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ht="24" x14ac:dyDescent="0.3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ht="24" x14ac:dyDescent="0.3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ht="24" x14ac:dyDescent="0.3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ht="24" x14ac:dyDescent="0.3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ht="24" x14ac:dyDescent="0.3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17" ht="24" x14ac:dyDescent="0.3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ht="24" x14ac:dyDescent="0.3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ht="24" x14ac:dyDescent="0.3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ht="24" x14ac:dyDescent="0.3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ht="24" x14ac:dyDescent="0.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ht="24" x14ac:dyDescent="0.3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17" ht="24" x14ac:dyDescent="0.3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 ht="24" x14ac:dyDescent="0.3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1:17" ht="24" x14ac:dyDescent="0.3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1:17" ht="24" x14ac:dyDescent="0.3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ht="24" x14ac:dyDescent="0.3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ht="24" x14ac:dyDescent="0.3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ht="24" x14ac:dyDescent="0.3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ht="24" x14ac:dyDescent="0.3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ht="24" x14ac:dyDescent="0.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17" ht="24" x14ac:dyDescent="0.3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spans="1:17" ht="24" x14ac:dyDescent="0.3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spans="1:17" ht="24" x14ac:dyDescent="0.3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spans="1:17" ht="24" x14ac:dyDescent="0.3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spans="1:17" ht="24" x14ac:dyDescent="0.3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spans="1:17" ht="24" x14ac:dyDescent="0.3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spans="1:17" ht="24" x14ac:dyDescent="0.3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spans="1:17" ht="24" x14ac:dyDescent="0.3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1:17" ht="24" x14ac:dyDescent="0.3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spans="1:17" ht="24" x14ac:dyDescent="0.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spans="1:17" ht="24" x14ac:dyDescent="0.3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spans="1:17" ht="24" x14ac:dyDescent="0.3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spans="1:17" ht="24" x14ac:dyDescent="0.3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spans="1:17" ht="24" x14ac:dyDescent="0.3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spans="1:17" ht="24" x14ac:dyDescent="0.3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spans="1:17" ht="24" x14ac:dyDescent="0.3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spans="1:17" ht="24" x14ac:dyDescent="0.3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17" ht="24" x14ac:dyDescent="0.3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spans="1:17" ht="24" x14ac:dyDescent="0.3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spans="1:17" ht="24" x14ac:dyDescent="0.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spans="1:17" ht="24" x14ac:dyDescent="0.3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spans="1:17" ht="24" x14ac:dyDescent="0.3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1:17" ht="24" x14ac:dyDescent="0.3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spans="1:17" ht="24" x14ac:dyDescent="0.3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spans="1:17" ht="24" x14ac:dyDescent="0.3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spans="1:17" ht="24" x14ac:dyDescent="0.3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spans="1:17" ht="24" x14ac:dyDescent="0.3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spans="1:17" ht="24" x14ac:dyDescent="0.3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spans="1:17" ht="24" x14ac:dyDescent="0.3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spans="1:17" ht="24" x14ac:dyDescent="0.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spans="1:17" ht="24" x14ac:dyDescent="0.3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spans="1:17" ht="24" x14ac:dyDescent="0.3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spans="1:17" ht="24" x14ac:dyDescent="0.3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spans="1:17" ht="24" x14ac:dyDescent="0.3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spans="1:17" ht="24" x14ac:dyDescent="0.3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spans="1:17" ht="24" x14ac:dyDescent="0.3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1:17" ht="24" x14ac:dyDescent="0.3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spans="1:17" ht="24" x14ac:dyDescent="0.3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spans="1:17" ht="24" x14ac:dyDescent="0.3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spans="1:17" ht="24" x14ac:dyDescent="0.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spans="1:17" ht="24" x14ac:dyDescent="0.3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ht="24" x14ac:dyDescent="0.3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ht="24" x14ac:dyDescent="0.3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spans="1:17" ht="24" x14ac:dyDescent="0.3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spans="1:17" ht="24" x14ac:dyDescent="0.3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spans="1:17" ht="24" x14ac:dyDescent="0.3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spans="1:17" ht="24" x14ac:dyDescent="0.3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17" ht="24" x14ac:dyDescent="0.3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spans="1:17" ht="24" x14ac:dyDescent="0.3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spans="1:17" ht="24" x14ac:dyDescent="0.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spans="1:17" ht="24" x14ac:dyDescent="0.3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spans="1:17" ht="24" x14ac:dyDescent="0.3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spans="1:17" ht="24" x14ac:dyDescent="0.3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spans="1:17" ht="24" x14ac:dyDescent="0.3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spans="1:17" ht="24" x14ac:dyDescent="0.3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spans="1:17" ht="24" x14ac:dyDescent="0.3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spans="1:17" ht="24" x14ac:dyDescent="0.3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17" ht="24" x14ac:dyDescent="0.3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spans="1:17" ht="24" x14ac:dyDescent="0.3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spans="1:17" ht="24" x14ac:dyDescent="0.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spans="1:17" ht="24" x14ac:dyDescent="0.3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spans="1:17" ht="24" x14ac:dyDescent="0.3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spans="1:17" ht="24" x14ac:dyDescent="0.3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spans="1:17" ht="24" x14ac:dyDescent="0.3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spans="1:17" ht="24" x14ac:dyDescent="0.3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ht="24" x14ac:dyDescent="0.3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spans="1:17" ht="24" x14ac:dyDescent="0.3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spans="1:17" ht="24" x14ac:dyDescent="0.3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spans="1:17" ht="24" x14ac:dyDescent="0.3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spans="1:17" ht="24" x14ac:dyDescent="0.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spans="1:17" ht="24" x14ac:dyDescent="0.3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ht="24" x14ac:dyDescent="0.3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spans="1:17" ht="24" x14ac:dyDescent="0.3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spans="1:17" ht="24" x14ac:dyDescent="0.3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spans="1:17" ht="24" x14ac:dyDescent="0.3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1:17" ht="24" x14ac:dyDescent="0.3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spans="1:17" ht="24" x14ac:dyDescent="0.3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spans="1:17" ht="24" x14ac:dyDescent="0.3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spans="1:17" ht="24" x14ac:dyDescent="0.3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spans="1:17" ht="24" x14ac:dyDescent="0.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spans="1:17" ht="24" x14ac:dyDescent="0.3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spans="1:17" ht="24" x14ac:dyDescent="0.3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spans="1:17" ht="24" x14ac:dyDescent="0.3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spans="1:17" ht="24" x14ac:dyDescent="0.3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0B08-490E-F24C-818C-E4B0AA49FFAD}">
  <sheetPr>
    <tabColor theme="5"/>
  </sheetPr>
  <dimension ref="A2:Q89"/>
  <sheetViews>
    <sheetView showGridLines="0" workbookViewId="0">
      <selection activeCell="C7" sqref="C7"/>
    </sheetView>
  </sheetViews>
  <sheetFormatPr baseColWidth="10" defaultRowHeight="16" x14ac:dyDescent="0.2"/>
  <cols>
    <col min="1" max="1" width="26.6640625" bestFit="1" customWidth="1"/>
    <col min="3" max="3" width="20" bestFit="1" customWidth="1"/>
    <col min="4" max="4" width="10.6640625" bestFit="1" customWidth="1"/>
    <col min="5" max="5" width="19" bestFit="1" customWidth="1"/>
    <col min="10" max="10" width="12.1640625" bestFit="1" customWidth="1"/>
    <col min="11" max="11" width="19.83203125" bestFit="1" customWidth="1"/>
    <col min="12" max="12" width="15.83203125" bestFit="1" customWidth="1"/>
  </cols>
  <sheetData>
    <row r="2" spans="1:17" ht="27" x14ac:dyDescent="0.35">
      <c r="A2" s="28" t="s">
        <v>14</v>
      </c>
      <c r="B2" s="29"/>
      <c r="C2" s="29"/>
      <c r="D2" s="29"/>
      <c r="E2" s="2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7" x14ac:dyDescent="0.2">
      <c r="F3" s="12"/>
      <c r="G3" s="12"/>
      <c r="H3" s="12"/>
    </row>
    <row r="4" spans="1:17" ht="25" thickBot="1" x14ac:dyDescent="0.35">
      <c r="A4" s="13"/>
      <c r="B4" s="13"/>
      <c r="C4" s="34" t="s">
        <v>4</v>
      </c>
      <c r="D4" s="34"/>
      <c r="E4" s="34" t="s">
        <v>7</v>
      </c>
      <c r="F4" s="16"/>
      <c r="G4" s="14"/>
      <c r="H4" s="14"/>
      <c r="I4" s="8"/>
      <c r="J4" s="8"/>
      <c r="K4" s="8"/>
      <c r="L4" s="8"/>
      <c r="M4" s="8"/>
      <c r="N4" s="8"/>
      <c r="O4" s="8"/>
      <c r="P4" s="8"/>
      <c r="Q4" s="8"/>
    </row>
    <row r="5" spans="1:17" ht="25" thickTop="1" x14ac:dyDescent="0.3">
      <c r="A5" s="17" t="s">
        <v>15</v>
      </c>
      <c r="B5" s="14"/>
      <c r="C5" s="14"/>
      <c r="D5" s="14"/>
      <c r="E5" s="14"/>
      <c r="F5" s="14"/>
      <c r="G5" s="14"/>
      <c r="H5" s="14"/>
      <c r="I5" s="8"/>
      <c r="J5" s="8"/>
      <c r="K5" s="8"/>
      <c r="L5" s="8"/>
      <c r="M5" s="8"/>
      <c r="N5" s="8"/>
      <c r="O5" s="8"/>
      <c r="P5" s="8"/>
      <c r="Q5" s="8"/>
    </row>
    <row r="6" spans="1:17" ht="24" x14ac:dyDescent="0.3">
      <c r="A6" s="18" t="s">
        <v>36</v>
      </c>
      <c r="B6" s="14"/>
      <c r="C6" s="44">
        <f>AVERAGE(URANIUM!D3:D145)</f>
        <v>8.399419936311818E-3</v>
      </c>
      <c r="D6" s="45"/>
      <c r="E6" s="44">
        <f>AVERAGE(AI!D3:D145)</f>
        <v>5.3665914648803395E-3</v>
      </c>
      <c r="F6" s="14"/>
      <c r="G6" s="14"/>
      <c r="H6" s="14"/>
      <c r="I6" s="8"/>
      <c r="J6" s="8"/>
      <c r="K6" s="8"/>
      <c r="L6" s="8"/>
      <c r="M6" s="8"/>
      <c r="N6" s="8"/>
      <c r="O6" s="8"/>
      <c r="P6" s="8"/>
      <c r="Q6" s="8"/>
    </row>
    <row r="7" spans="1:17" ht="24" x14ac:dyDescent="0.3">
      <c r="A7" s="18" t="s">
        <v>17</v>
      </c>
      <c r="B7" s="14"/>
      <c r="C7" s="46">
        <f>EXP(C6*52)-1</f>
        <v>0.54769981234392096</v>
      </c>
      <c r="D7" s="47"/>
      <c r="E7" s="46">
        <f>EXP(E6*52)-1</f>
        <v>0.32189029804382763</v>
      </c>
      <c r="F7" s="14"/>
      <c r="G7" s="14"/>
      <c r="H7" s="14"/>
      <c r="I7" s="8"/>
      <c r="J7" s="8"/>
      <c r="K7" s="8"/>
      <c r="L7" s="8"/>
      <c r="M7" s="8"/>
      <c r="N7" s="8"/>
      <c r="O7" s="8"/>
      <c r="P7" s="8"/>
      <c r="Q7" s="8"/>
    </row>
    <row r="8" spans="1:17" ht="24" x14ac:dyDescent="0.3">
      <c r="A8" s="19"/>
      <c r="B8" s="14"/>
      <c r="C8" s="21"/>
      <c r="D8" s="21"/>
      <c r="E8" s="21"/>
      <c r="F8" s="14"/>
      <c r="G8" s="14"/>
      <c r="H8" s="14"/>
      <c r="I8" s="8"/>
      <c r="J8" s="35"/>
      <c r="K8" s="8"/>
      <c r="L8" s="8"/>
      <c r="M8" s="8"/>
      <c r="N8" s="8"/>
      <c r="O8" s="8"/>
      <c r="P8" s="8"/>
      <c r="Q8" s="8"/>
    </row>
    <row r="9" spans="1:17" ht="24" x14ac:dyDescent="0.3">
      <c r="A9" s="20" t="s">
        <v>19</v>
      </c>
      <c r="B9" s="14"/>
      <c r="C9" s="21"/>
      <c r="D9" s="21"/>
      <c r="E9" s="21"/>
      <c r="F9" s="14"/>
      <c r="G9" s="14"/>
      <c r="H9" s="14"/>
      <c r="I9" s="8"/>
      <c r="J9" s="8"/>
      <c r="K9" s="8"/>
      <c r="L9" s="8"/>
      <c r="M9" s="8"/>
      <c r="N9" s="8"/>
      <c r="O9" s="8"/>
      <c r="P9" s="8"/>
      <c r="Q9" s="8"/>
    </row>
    <row r="10" spans="1:17" ht="24" x14ac:dyDescent="0.3">
      <c r="A10" s="19" t="s">
        <v>16</v>
      </c>
      <c r="B10" s="14"/>
      <c r="C10" s="44">
        <f>_xlfn.VAR.S(URANIUM!D3:D145)</f>
        <v>2.4281642451005479E-3</v>
      </c>
      <c r="D10" s="45"/>
      <c r="E10" s="44">
        <f>_xlfn.VAR.S(AI!D3:D145)</f>
        <v>1.1160880894655815E-3</v>
      </c>
      <c r="F10" s="14"/>
      <c r="G10" s="14"/>
      <c r="H10" s="14"/>
      <c r="I10" s="8"/>
      <c r="J10" s="8"/>
      <c r="K10" s="8"/>
      <c r="L10" s="8"/>
      <c r="M10" s="8"/>
      <c r="N10" s="8"/>
      <c r="O10" s="8"/>
      <c r="P10" s="8"/>
      <c r="Q10" s="8"/>
    </row>
    <row r="11" spans="1:17" ht="24" x14ac:dyDescent="0.3">
      <c r="A11" s="19" t="s">
        <v>22</v>
      </c>
      <c r="B11" s="14"/>
      <c r="C11" s="22">
        <f>C10*52</f>
        <v>0.1262645407452285</v>
      </c>
      <c r="D11" s="22"/>
      <c r="E11" s="22">
        <f>E10*52</f>
        <v>5.8036580652210241E-2</v>
      </c>
      <c r="F11" s="14"/>
      <c r="G11" s="14"/>
      <c r="H11" s="14"/>
      <c r="I11" s="8"/>
      <c r="J11" s="8"/>
      <c r="K11" s="8"/>
      <c r="L11" s="8"/>
      <c r="M11" s="8"/>
      <c r="N11" s="8"/>
      <c r="O11" s="8"/>
      <c r="P11" s="8"/>
      <c r="Q11" s="8"/>
    </row>
    <row r="12" spans="1:17" ht="24" x14ac:dyDescent="0.3">
      <c r="A12" s="12"/>
      <c r="B12" s="14"/>
      <c r="C12" s="21"/>
      <c r="D12" s="21"/>
      <c r="E12" s="21"/>
      <c r="F12" s="14"/>
      <c r="G12" s="14"/>
      <c r="H12" s="14"/>
      <c r="I12" s="8"/>
      <c r="J12" s="8"/>
      <c r="K12" s="39"/>
      <c r="L12" s="8"/>
      <c r="M12" s="8"/>
      <c r="N12" s="8"/>
      <c r="O12" s="8"/>
      <c r="P12" s="8"/>
      <c r="Q12" s="8"/>
    </row>
    <row r="13" spans="1:17" ht="24" x14ac:dyDescent="0.3">
      <c r="A13" s="20" t="s">
        <v>23</v>
      </c>
      <c r="B13" s="14"/>
      <c r="C13" s="21"/>
      <c r="D13" s="21"/>
      <c r="E13" s="21"/>
      <c r="F13" s="14"/>
      <c r="G13" s="14"/>
      <c r="H13" s="14"/>
      <c r="I13" s="8"/>
      <c r="J13" s="8"/>
      <c r="K13" s="8"/>
      <c r="L13" s="41"/>
      <c r="M13" s="8"/>
      <c r="N13" s="8"/>
      <c r="O13" s="8"/>
      <c r="P13" s="8"/>
      <c r="Q13" s="8"/>
    </row>
    <row r="14" spans="1:17" ht="24" x14ac:dyDescent="0.3">
      <c r="A14" s="18" t="s">
        <v>24</v>
      </c>
      <c r="B14" s="14"/>
      <c r="C14" s="46">
        <f>SQRT(C11)</f>
        <v>0.35533722116494987</v>
      </c>
      <c r="D14" s="48"/>
      <c r="E14" s="48">
        <f>SQRT(E11)</f>
        <v>0.2409078260501519</v>
      </c>
      <c r="F14" s="14"/>
      <c r="G14" s="14"/>
      <c r="H14" s="14"/>
      <c r="I14" s="8"/>
      <c r="J14" s="36"/>
      <c r="K14" s="11"/>
      <c r="L14" s="8"/>
      <c r="M14" s="8"/>
      <c r="N14" s="8"/>
      <c r="O14" s="8"/>
      <c r="P14" s="8"/>
      <c r="Q14" s="8"/>
    </row>
    <row r="15" spans="1:17" ht="24" x14ac:dyDescent="0.3">
      <c r="A15" s="16"/>
      <c r="B15" s="14"/>
      <c r="C15" s="14"/>
      <c r="D15" s="14"/>
      <c r="E15" s="14"/>
      <c r="F15" s="14"/>
      <c r="G15" s="14"/>
      <c r="H15" s="14"/>
      <c r="I15" s="8"/>
      <c r="J15" s="8"/>
      <c r="K15" s="8"/>
      <c r="L15" s="8"/>
      <c r="M15" s="8"/>
      <c r="N15" s="8"/>
      <c r="O15" s="8"/>
      <c r="P15" s="8"/>
      <c r="Q15" s="8"/>
    </row>
    <row r="16" spans="1:17" ht="24" x14ac:dyDescent="0.3">
      <c r="A16" s="20" t="s">
        <v>41</v>
      </c>
      <c r="B16" s="14"/>
      <c r="C16" s="12"/>
      <c r="D16" s="40">
        <f>_xlfn.COVARIANCE.S(URANIUM!D3:D145,AI!D3:D145)</f>
        <v>6.4112619896345238E-4</v>
      </c>
      <c r="E16" s="14"/>
      <c r="F16" s="14"/>
      <c r="G16" s="14"/>
      <c r="H16" s="14"/>
      <c r="I16" s="8"/>
      <c r="J16" s="8"/>
      <c r="K16" s="11"/>
      <c r="L16" s="8"/>
      <c r="M16" s="8"/>
      <c r="N16" s="8"/>
      <c r="O16" s="8"/>
      <c r="P16" s="8"/>
      <c r="Q16" s="8"/>
    </row>
    <row r="17" spans="1:17" ht="24" x14ac:dyDescent="0.3">
      <c r="A17" s="20"/>
      <c r="B17" s="14"/>
      <c r="C17" s="14"/>
      <c r="D17" s="14"/>
      <c r="E17" s="14"/>
      <c r="F17" s="14"/>
      <c r="G17" s="14"/>
      <c r="H17" s="14"/>
      <c r="I17" s="8"/>
      <c r="J17" s="8"/>
      <c r="K17" s="8"/>
      <c r="L17" s="8"/>
      <c r="M17" s="8"/>
      <c r="N17" s="8"/>
      <c r="O17" s="8"/>
      <c r="P17" s="8"/>
      <c r="Q17" s="8"/>
    </row>
    <row r="18" spans="1:17" ht="24" x14ac:dyDescent="0.3">
      <c r="A18" s="20" t="s">
        <v>18</v>
      </c>
      <c r="B18" s="14"/>
      <c r="C18" s="14"/>
      <c r="D18" s="49">
        <f>CORREL(URANIUM!D3:D145,AI!D3:D145)</f>
        <v>0.38945318291992087</v>
      </c>
      <c r="E18" s="14"/>
      <c r="F18" s="14"/>
      <c r="G18" s="14"/>
      <c r="H18" s="14"/>
      <c r="I18" s="8"/>
      <c r="J18" s="8"/>
      <c r="K18" s="8"/>
      <c r="L18" s="8"/>
      <c r="M18" s="8"/>
      <c r="N18" s="8"/>
      <c r="O18" s="8"/>
      <c r="P18" s="8"/>
      <c r="Q18" s="8"/>
    </row>
    <row r="19" spans="1:17" ht="25" thickBot="1" x14ac:dyDescent="0.35">
      <c r="A19" s="42" t="s">
        <v>25</v>
      </c>
      <c r="B19" s="15"/>
      <c r="C19" s="15"/>
      <c r="D19" s="43">
        <f>D18^2</f>
        <v>0.15167378168645734</v>
      </c>
      <c r="E19" s="15"/>
      <c r="F19" s="14"/>
      <c r="G19" s="14"/>
      <c r="H19" s="14"/>
      <c r="I19" s="8"/>
      <c r="J19" s="8"/>
      <c r="K19" s="8"/>
      <c r="L19" s="8"/>
      <c r="M19" s="8"/>
      <c r="N19" s="8"/>
      <c r="O19" s="8"/>
      <c r="P19" s="8"/>
      <c r="Q19" s="8"/>
    </row>
    <row r="20" spans="1:17" ht="25" thickTop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</row>
    <row r="21" spans="1:17" ht="24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 ht="24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</row>
    <row r="23" spans="1:17" ht="24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</row>
    <row r="24" spans="1:17" ht="24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</row>
    <row r="25" spans="1:17" ht="24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</row>
    <row r="26" spans="1:17" ht="24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</row>
    <row r="27" spans="1:17" ht="24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1:17" ht="24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1:17" ht="24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1:17" ht="24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1:17" ht="24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1:17" ht="24" x14ac:dyDescent="0.3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1:17" ht="24" x14ac:dyDescent="0.3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1:17" ht="24" x14ac:dyDescent="0.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1:17" ht="24" x14ac:dyDescent="0.3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1:17" ht="24" x14ac:dyDescent="0.3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  <row r="37" spans="1:17" ht="24" x14ac:dyDescent="0.3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1:17" ht="24" x14ac:dyDescent="0.3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1:17" ht="24" x14ac:dyDescent="0.3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1:17" ht="24" x14ac:dyDescent="0.3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</row>
    <row r="41" spans="1:17" ht="24" x14ac:dyDescent="0.3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</row>
    <row r="42" spans="1:17" ht="24" x14ac:dyDescent="0.3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</row>
    <row r="43" spans="1:17" ht="24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</row>
    <row r="44" spans="1:17" ht="24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</row>
    <row r="45" spans="1:17" ht="24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</row>
    <row r="46" spans="1:17" ht="24" x14ac:dyDescent="0.3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1:17" ht="24" x14ac:dyDescent="0.3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</row>
    <row r="48" spans="1:17" ht="24" x14ac:dyDescent="0.3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</row>
    <row r="49" spans="1:17" ht="24" x14ac:dyDescent="0.3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</row>
    <row r="50" spans="1:17" ht="24" x14ac:dyDescent="0.3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</row>
    <row r="51" spans="1:17" ht="24" x14ac:dyDescent="0.3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</row>
    <row r="52" spans="1:17" ht="24" x14ac:dyDescent="0.3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</row>
    <row r="53" spans="1:17" ht="24" x14ac:dyDescent="0.3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</row>
    <row r="54" spans="1:17" ht="24" x14ac:dyDescent="0.3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</row>
    <row r="55" spans="1:17" ht="24" x14ac:dyDescent="0.3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24" x14ac:dyDescent="0.3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</row>
    <row r="57" spans="1:17" ht="24" x14ac:dyDescent="0.3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</row>
    <row r="58" spans="1:17" ht="24" x14ac:dyDescent="0.3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</row>
    <row r="59" spans="1:17" ht="24" x14ac:dyDescent="0.3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</row>
    <row r="60" spans="1:17" ht="24" x14ac:dyDescent="0.3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</row>
    <row r="61" spans="1:17" ht="24" x14ac:dyDescent="0.3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</row>
    <row r="62" spans="1:17" ht="24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17" ht="24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17" ht="2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24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24" x14ac:dyDescent="0.3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24" x14ac:dyDescent="0.3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24" x14ac:dyDescent="0.3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24" x14ac:dyDescent="0.3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24" x14ac:dyDescent="0.3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24" x14ac:dyDescent="0.3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24" x14ac:dyDescent="0.3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24" x14ac:dyDescent="0.3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24" x14ac:dyDescent="0.3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24" x14ac:dyDescent="0.3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24" x14ac:dyDescent="0.3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24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24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24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24" x14ac:dyDescent="0.3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24" x14ac:dyDescent="0.3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ht="24" x14ac:dyDescent="0.3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24" x14ac:dyDescent="0.3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24" x14ac:dyDescent="0.3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24" x14ac:dyDescent="0.3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24" x14ac:dyDescent="0.3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24" x14ac:dyDescent="0.3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24" x14ac:dyDescent="0.3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24" x14ac:dyDescent="0.3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DFD81-C47B-7040-9FC8-65C53A765B09}">
  <sheetPr>
    <tabColor theme="8"/>
  </sheetPr>
  <dimension ref="A2:V108"/>
  <sheetViews>
    <sheetView showGridLines="0" tabSelected="1" zoomScale="90" zoomScaleNormal="90" workbookViewId="0">
      <selection activeCell="L27" sqref="L27"/>
    </sheetView>
  </sheetViews>
  <sheetFormatPr baseColWidth="10" defaultRowHeight="16" x14ac:dyDescent="0.2"/>
  <cols>
    <col min="2" max="2" width="27.33203125" bestFit="1" customWidth="1"/>
    <col min="3" max="3" width="16.83203125" bestFit="1" customWidth="1"/>
    <col min="10" max="10" width="19.5" bestFit="1" customWidth="1"/>
  </cols>
  <sheetData>
    <row r="2" spans="1:22" ht="24" x14ac:dyDescent="0.3">
      <c r="A2" s="30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4" spans="1:22" ht="24" x14ac:dyDescent="0.3">
      <c r="B4" s="50" t="s">
        <v>26</v>
      </c>
      <c r="C4" s="54">
        <v>46038</v>
      </c>
      <c r="F4" s="61" t="s">
        <v>45</v>
      </c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2"/>
    </row>
    <row r="5" spans="1:22" ht="24" x14ac:dyDescent="0.3">
      <c r="B5" s="51" t="s">
        <v>43</v>
      </c>
      <c r="C5" s="50"/>
    </row>
    <row r="6" spans="1:22" ht="24" x14ac:dyDescent="0.3">
      <c r="B6" s="52" t="s">
        <v>4</v>
      </c>
      <c r="C6" s="55">
        <f>EVALUATION!C7</f>
        <v>0.54769981234392096</v>
      </c>
      <c r="F6" s="83" t="s">
        <v>46</v>
      </c>
      <c r="G6" s="83" t="s">
        <v>47</v>
      </c>
      <c r="H6" s="84" t="s">
        <v>48</v>
      </c>
      <c r="I6" s="84" t="s">
        <v>49</v>
      </c>
      <c r="J6" s="84" t="s">
        <v>50</v>
      </c>
      <c r="K6" s="58"/>
      <c r="L6" s="58"/>
      <c r="M6" s="59"/>
      <c r="N6" s="59"/>
      <c r="O6" s="59"/>
      <c r="P6" s="58"/>
      <c r="Q6" s="60"/>
      <c r="R6" s="60"/>
      <c r="S6" s="60"/>
      <c r="T6" s="60"/>
      <c r="U6" s="60"/>
      <c r="V6" s="60"/>
    </row>
    <row r="7" spans="1:22" ht="24" x14ac:dyDescent="0.3">
      <c r="B7" s="52" t="s">
        <v>7</v>
      </c>
      <c r="C7" s="55">
        <f>EVALUATION!E7</f>
        <v>0.32189029804382763</v>
      </c>
    </row>
    <row r="8" spans="1:22" ht="24" x14ac:dyDescent="0.3">
      <c r="B8" s="50"/>
      <c r="C8" s="50"/>
      <c r="F8" s="57">
        <v>0</v>
      </c>
      <c r="G8" s="57">
        <f>1-F8</f>
        <v>1</v>
      </c>
      <c r="H8" s="64">
        <f>(F8*$C$6)+(G8*$C$7)</f>
        <v>0.32189029804382763</v>
      </c>
      <c r="I8" s="38">
        <f>SQRT((F8^2*$C$10^2)+(G8^2*$C$11^2)+(2*F8*G8*$C$13*$C$10*$C$11))</f>
        <v>0.2409078260501519</v>
      </c>
      <c r="J8" s="65">
        <f>(H8-$C$15)/I8</f>
        <v>1.217852914345547</v>
      </c>
    </row>
    <row r="9" spans="1:22" ht="24" x14ac:dyDescent="0.3">
      <c r="B9" s="51" t="s">
        <v>23</v>
      </c>
      <c r="C9" s="55"/>
      <c r="F9" s="57">
        <v>0.01</v>
      </c>
      <c r="G9" s="57">
        <f>1-F9</f>
        <v>0.99</v>
      </c>
      <c r="H9" s="64">
        <f t="shared" ref="H9:H72" si="0">(F9*$C$6)+(G9*$C$7)</f>
        <v>0.32414839318682859</v>
      </c>
      <c r="I9" s="38">
        <f t="shared" ref="I9:I72" si="1">SQRT((F9^2*$C$10^2)+(G9^2*$C$11^2)+(2*F9*G9*$C$13*$C$10*$C$11))</f>
        <v>0.23990494510484472</v>
      </c>
      <c r="J9" s="65">
        <f t="shared" ref="J9:J72" si="2">(H9-$C$15)/I9</f>
        <v>1.2323563945612814</v>
      </c>
    </row>
    <row r="10" spans="1:22" ht="24" x14ac:dyDescent="0.3">
      <c r="B10" s="52" t="s">
        <v>4</v>
      </c>
      <c r="C10" s="55">
        <f>EVALUATION!C14</f>
        <v>0.35533722116494987</v>
      </c>
      <c r="F10" s="57">
        <v>0.02</v>
      </c>
      <c r="G10" s="57">
        <f t="shared" ref="G10:G73" si="3">1-F10</f>
        <v>0.98</v>
      </c>
      <c r="H10" s="64">
        <f t="shared" si="0"/>
        <v>0.32640648832982949</v>
      </c>
      <c r="I10" s="38">
        <f>SQRT((F10^2*$C$10^2)+(G10^2*$C$11^2)+(2*F10*G10*$C$13*$C$10*$C$11))</f>
        <v>0.23894708518550276</v>
      </c>
      <c r="J10" s="65">
        <f t="shared" si="2"/>
        <v>1.2467466933047311</v>
      </c>
    </row>
    <row r="11" spans="1:22" ht="24" x14ac:dyDescent="0.3">
      <c r="B11" s="52" t="s">
        <v>7</v>
      </c>
      <c r="C11" s="55">
        <f>EVALUATION!E14</f>
        <v>0.2409078260501519</v>
      </c>
      <c r="F11" s="57">
        <v>0.03</v>
      </c>
      <c r="G11" s="57">
        <f t="shared" si="3"/>
        <v>0.97</v>
      </c>
      <c r="H11" s="64">
        <f t="shared" si="0"/>
        <v>0.32866458347283045</v>
      </c>
      <c r="I11" s="38">
        <f t="shared" si="1"/>
        <v>0.23803478979106882</v>
      </c>
      <c r="J11" s="65">
        <f t="shared" si="2"/>
        <v>1.2610113997886403</v>
      </c>
    </row>
    <row r="12" spans="1:22" ht="24" x14ac:dyDescent="0.3">
      <c r="B12" s="50"/>
      <c r="C12" s="50"/>
      <c r="F12" s="57">
        <v>0.04</v>
      </c>
      <c r="G12" s="57">
        <f t="shared" si="3"/>
        <v>0.96</v>
      </c>
      <c r="H12" s="64">
        <f t="shared" si="0"/>
        <v>0.33092267861583136</v>
      </c>
      <c r="I12" s="38">
        <f t="shared" si="1"/>
        <v>0.23716858472919591</v>
      </c>
      <c r="J12" s="65">
        <f t="shared" si="2"/>
        <v>1.275138016112648</v>
      </c>
    </row>
    <row r="13" spans="1:22" ht="24" x14ac:dyDescent="0.3">
      <c r="B13" s="51" t="s">
        <v>18</v>
      </c>
      <c r="C13" s="53">
        <f>EVALUATION!D18</f>
        <v>0.38945318291992087</v>
      </c>
      <c r="F13" s="57">
        <v>0.05</v>
      </c>
      <c r="G13" s="57">
        <f t="shared" si="3"/>
        <v>0.95</v>
      </c>
      <c r="H13" s="64">
        <f t="shared" si="0"/>
        <v>0.33318077375883232</v>
      </c>
      <c r="I13" s="38">
        <f t="shared" si="1"/>
        <v>0.23634897675547967</v>
      </c>
      <c r="J13" s="65">
        <f t="shared" si="2"/>
        <v>1.2891139955052433</v>
      </c>
    </row>
    <row r="14" spans="1:22" ht="24" x14ac:dyDescent="0.3">
      <c r="B14" s="50"/>
      <c r="C14" s="50"/>
      <c r="F14" s="57">
        <v>0.06</v>
      </c>
      <c r="G14" s="57">
        <f t="shared" si="3"/>
        <v>0.94</v>
      </c>
      <c r="H14" s="64">
        <f t="shared" si="0"/>
        <v>0.33543886890183316</v>
      </c>
      <c r="I14" s="38">
        <f t="shared" si="1"/>
        <v>0.23557645222648171</v>
      </c>
      <c r="J14" s="65">
        <f t="shared" si="2"/>
        <v>1.3029267823710329</v>
      </c>
    </row>
    <row r="15" spans="1:22" ht="24" x14ac:dyDescent="0.3">
      <c r="B15" s="51" t="s">
        <v>44</v>
      </c>
      <c r="C15" s="56">
        <v>2.8500000000000001E-2</v>
      </c>
      <c r="F15" s="57">
        <v>7.0000000000000007E-2</v>
      </c>
      <c r="G15" s="57">
        <f t="shared" si="3"/>
        <v>0.92999999999999994</v>
      </c>
      <c r="H15" s="64">
        <f t="shared" si="0"/>
        <v>0.33769696404483418</v>
      </c>
      <c r="I15" s="38">
        <f t="shared" si="1"/>
        <v>0.23485147577396745</v>
      </c>
      <c r="J15" s="65">
        <f t="shared" si="2"/>
        <v>1.3165638539245137</v>
      </c>
    </row>
    <row r="16" spans="1:22" ht="25" thickBot="1" x14ac:dyDescent="0.35">
      <c r="F16" s="57">
        <v>0.08</v>
      </c>
      <c r="G16" s="57">
        <f t="shared" si="3"/>
        <v>0.92</v>
      </c>
      <c r="H16" s="64">
        <f t="shared" si="0"/>
        <v>0.33995505918783508</v>
      </c>
      <c r="I16" s="38">
        <f t="shared" si="1"/>
        <v>0.23417448900797472</v>
      </c>
      <c r="J16" s="65">
        <f t="shared" si="2"/>
        <v>1.330012763163235</v>
      </c>
    </row>
    <row r="17" spans="2:10" ht="24" x14ac:dyDescent="0.3">
      <c r="B17" s="85" t="s">
        <v>52</v>
      </c>
      <c r="C17" s="66"/>
      <c r="F17" s="57">
        <v>0.09</v>
      </c>
      <c r="G17" s="57">
        <f t="shared" si="3"/>
        <v>0.91</v>
      </c>
      <c r="H17" s="64">
        <f t="shared" si="0"/>
        <v>0.34221315433083604</v>
      </c>
      <c r="I17" s="38">
        <f>SQRT((F17^2*$C$10^2)+(G17^2*$C$11^2)+(2*F17*G17*$C$13*$C$10*$C$11))</f>
        <v>0.23354590925645166</v>
      </c>
      <c r="J17" s="65">
        <f t="shared" si="2"/>
        <v>1.3432611829066741</v>
      </c>
    </row>
    <row r="18" spans="2:10" ht="24" x14ac:dyDescent="0.3">
      <c r="B18" s="67" t="s">
        <v>48</v>
      </c>
      <c r="C18" s="68">
        <f>H59</f>
        <v>0.4370531503368752</v>
      </c>
      <c r="F18" s="57">
        <v>0.1</v>
      </c>
      <c r="G18" s="57">
        <f t="shared" si="3"/>
        <v>0.9</v>
      </c>
      <c r="H18" s="64">
        <f t="shared" si="0"/>
        <v>0.34447124947383695</v>
      </c>
      <c r="I18" s="38">
        <f t="shared" si="1"/>
        <v>0.23296612834925273</v>
      </c>
      <c r="J18" s="65">
        <f t="shared" si="2"/>
        <v>1.3562969506028211</v>
      </c>
    </row>
    <row r="19" spans="2:10" ht="24" x14ac:dyDescent="0.3">
      <c r="B19" s="67" t="s">
        <v>51</v>
      </c>
      <c r="C19" s="68">
        <f>I59</f>
        <v>0.25187021166269374</v>
      </c>
      <c r="F19" s="57">
        <v>0.11</v>
      </c>
      <c r="G19" s="57">
        <f t="shared" si="3"/>
        <v>0.89</v>
      </c>
      <c r="H19" s="64">
        <f t="shared" si="0"/>
        <v>0.34672934461683791</v>
      </c>
      <c r="I19" s="38">
        <f t="shared" si="1"/>
        <v>0.23243551145425109</v>
      </c>
      <c r="J19" s="65">
        <f t="shared" si="2"/>
        <v>1.3691081135830361</v>
      </c>
    </row>
    <row r="20" spans="2:10" ht="25" thickBot="1" x14ac:dyDescent="0.35">
      <c r="B20" s="69" t="s">
        <v>50</v>
      </c>
      <c r="C20" s="70">
        <f>MAXA(J8:J108)</f>
        <v>1.6220780839459183</v>
      </c>
      <c r="F20" s="57">
        <v>0.12</v>
      </c>
      <c r="G20" s="57">
        <f t="shared" si="3"/>
        <v>0.88</v>
      </c>
      <c r="H20" s="64">
        <f t="shared" si="0"/>
        <v>0.34898743975983881</v>
      </c>
      <c r="I20" s="38">
        <f t="shared" si="1"/>
        <v>0.23195439597321521</v>
      </c>
      <c r="J20" s="65">
        <f t="shared" si="2"/>
        <v>1.3816829744276409</v>
      </c>
    </row>
    <row r="21" spans="2:10" ht="25" thickBot="1" x14ac:dyDescent="0.35">
      <c r="B21" s="8"/>
      <c r="F21" s="57">
        <v>0.13</v>
      </c>
      <c r="G21" s="57">
        <f t="shared" si="3"/>
        <v>0.87</v>
      </c>
      <c r="H21" s="64">
        <f t="shared" si="0"/>
        <v>0.35124553490283977</v>
      </c>
      <c r="I21" s="38">
        <f t="shared" si="1"/>
        <v>0.23152309050489978</v>
      </c>
      <c r="J21" s="65">
        <f t="shared" si="2"/>
        <v>1.3940101360905486</v>
      </c>
    </row>
    <row r="22" spans="2:10" ht="24" x14ac:dyDescent="0.3">
      <c r="B22" s="76" t="s">
        <v>53</v>
      </c>
      <c r="C22" s="77" t="s">
        <v>25</v>
      </c>
      <c r="D22" s="78" t="s">
        <v>54</v>
      </c>
      <c r="F22" s="57">
        <v>0.14000000000000001</v>
      </c>
      <c r="G22" s="57">
        <f t="shared" si="3"/>
        <v>0.86</v>
      </c>
      <c r="H22" s="64">
        <f t="shared" si="0"/>
        <v>0.35350363004584068</v>
      </c>
      <c r="I22" s="38">
        <f t="shared" si="1"/>
        <v>0.23114187388251817</v>
      </c>
      <c r="J22" s="65">
        <f t="shared" si="2"/>
        <v>1.4060785464213608</v>
      </c>
    </row>
    <row r="23" spans="2:10" ht="24" x14ac:dyDescent="0.3">
      <c r="B23" s="71">
        <v>0</v>
      </c>
      <c r="C23" s="72">
        <f>(B23*$C$18)+((1-B23)*C15)</f>
        <v>2.8500000000000001E-2</v>
      </c>
      <c r="D23" s="68">
        <f>(B23*$C$19)</f>
        <v>0</v>
      </c>
      <c r="F23" s="57">
        <v>0.15</v>
      </c>
      <c r="G23" s="57">
        <f t="shared" si="3"/>
        <v>0.85</v>
      </c>
      <c r="H23" s="64">
        <f t="shared" si="0"/>
        <v>0.35576172518884164</v>
      </c>
      <c r="I23" s="38">
        <f t="shared" si="1"/>
        <v>0.23081099429239699</v>
      </c>
      <c r="J23" s="65">
        <f t="shared" si="2"/>
        <v>1.4178775417182186</v>
      </c>
    </row>
    <row r="24" spans="2:10" ht="24" x14ac:dyDescent="0.3">
      <c r="B24" s="71">
        <v>1</v>
      </c>
      <c r="C24" s="72">
        <f t="shared" ref="C24:C25" si="4">(B24*$C$18)+((1-B24)*C16)</f>
        <v>0.4370531503368752</v>
      </c>
      <c r="D24" s="68">
        <f t="shared" ref="D24:D25" si="5">(B24*$C$19)</f>
        <v>0.25187021166269374</v>
      </c>
      <c r="F24" s="57">
        <v>0.16</v>
      </c>
      <c r="G24" s="57">
        <f t="shared" si="3"/>
        <v>0.84</v>
      </c>
      <c r="H24" s="64">
        <f t="shared" si="0"/>
        <v>0.35801982033184254</v>
      </c>
      <c r="I24" s="38">
        <f t="shared" si="1"/>
        <v>0.23053066848015893</v>
      </c>
      <c r="J24" s="65">
        <f t="shared" si="2"/>
        <v>1.4293968889445323</v>
      </c>
    </row>
    <row r="25" spans="2:10" ht="25" thickBot="1" x14ac:dyDescent="0.35">
      <c r="B25" s="73">
        <v>2</v>
      </c>
      <c r="C25" s="74">
        <f>(B25*$C$18)+((1-B25)*C17)</f>
        <v>0.87410630067375039</v>
      </c>
      <c r="D25" s="75">
        <f t="shared" si="5"/>
        <v>0.50374042332538749</v>
      </c>
      <c r="F25" s="57">
        <v>0.17</v>
      </c>
      <c r="G25" s="57">
        <f t="shared" si="3"/>
        <v>0.83</v>
      </c>
      <c r="H25" s="64">
        <f t="shared" si="0"/>
        <v>0.3602779154748435</v>
      </c>
      <c r="I25" s="38">
        <f t="shared" si="1"/>
        <v>0.23030108105025046</v>
      </c>
      <c r="J25" s="65">
        <f t="shared" si="2"/>
        <v>1.4406268262477298</v>
      </c>
    </row>
    <row r="26" spans="2:10" ht="24" x14ac:dyDescent="0.3">
      <c r="C26" s="63"/>
      <c r="D26" s="63"/>
      <c r="F26" s="57">
        <v>0.18</v>
      </c>
      <c r="G26" s="57">
        <f t="shared" si="3"/>
        <v>0.82000000000000006</v>
      </c>
      <c r="H26" s="64">
        <f t="shared" si="0"/>
        <v>0.36253601061784446</v>
      </c>
      <c r="I26" s="38">
        <f t="shared" si="1"/>
        <v>0.23012238386402173</v>
      </c>
      <c r="J26" s="65">
        <f t="shared" si="2"/>
        <v>1.4515581014284329</v>
      </c>
    </row>
    <row r="27" spans="2:10" ht="24" x14ac:dyDescent="0.3">
      <c r="F27" s="57">
        <v>0.19</v>
      </c>
      <c r="G27" s="57">
        <f t="shared" si="3"/>
        <v>0.81</v>
      </c>
      <c r="H27" s="64">
        <f t="shared" si="0"/>
        <v>0.36479410576084537</v>
      </c>
      <c r="I27" s="38">
        <f t="shared" si="1"/>
        <v>0.22999469554089141</v>
      </c>
      <c r="J27" s="65">
        <f t="shared" si="2"/>
        <v>1.4621820080239836</v>
      </c>
    </row>
    <row r="28" spans="2:10" ht="24" x14ac:dyDescent="0.3">
      <c r="F28" s="57">
        <v>0.2</v>
      </c>
      <c r="G28" s="57">
        <f t="shared" si="3"/>
        <v>0.8</v>
      </c>
      <c r="H28" s="64">
        <f t="shared" si="0"/>
        <v>0.36705220090384627</v>
      </c>
      <c r="I28" s="38">
        <f t="shared" si="1"/>
        <v>0.22991810106639179</v>
      </c>
      <c r="J28" s="65">
        <f t="shared" si="2"/>
        <v>1.4724904186908057</v>
      </c>
    </row>
    <row r="29" spans="2:10" ht="24" x14ac:dyDescent="0.3">
      <c r="F29" s="57">
        <v>0.21</v>
      </c>
      <c r="G29" s="57">
        <f t="shared" si="3"/>
        <v>0.79</v>
      </c>
      <c r="H29" s="64">
        <f t="shared" si="0"/>
        <v>0.36931029604684723</v>
      </c>
      <c r="I29" s="38">
        <f t="shared" si="1"/>
        <v>0.22989265151010116</v>
      </c>
      <c r="J29" s="65">
        <f t="shared" si="2"/>
        <v>1.4824758155954909</v>
      </c>
    </row>
    <row r="30" spans="2:10" ht="24" x14ac:dyDescent="0.3">
      <c r="F30" s="57">
        <v>0.22</v>
      </c>
      <c r="G30" s="57">
        <f t="shared" si="3"/>
        <v>0.78</v>
      </c>
      <c r="H30" s="64">
        <f t="shared" si="0"/>
        <v>0.37156839118984814</v>
      </c>
      <c r="I30" s="38">
        <f t="shared" si="1"/>
        <v>0.22991836385564146</v>
      </c>
      <c r="J30" s="65">
        <f t="shared" si="2"/>
        <v>1.4921313175543038</v>
      </c>
    </row>
    <row r="31" spans="2:10" ht="24" x14ac:dyDescent="0.3">
      <c r="F31" s="57">
        <v>0.23</v>
      </c>
      <c r="G31" s="57">
        <f t="shared" si="3"/>
        <v>0.77</v>
      </c>
      <c r="H31" s="64">
        <f t="shared" si="0"/>
        <v>0.3738264863328491</v>
      </c>
      <c r="I31" s="38">
        <f t="shared" si="1"/>
        <v>0.22999522094405894</v>
      </c>
      <c r="J31" s="65">
        <f t="shared" si="2"/>
        <v>1.5014507036945859</v>
      </c>
    </row>
    <row r="32" spans="2:10" ht="24" x14ac:dyDescent="0.3">
      <c r="F32" s="57">
        <v>0.24</v>
      </c>
      <c r="G32" s="57">
        <f t="shared" si="3"/>
        <v>0.76</v>
      </c>
      <c r="H32" s="64">
        <f t="shared" si="0"/>
        <v>0.37608458147585</v>
      </c>
      <c r="I32" s="38">
        <f t="shared" si="1"/>
        <v>0.23012317153102793</v>
      </c>
      <c r="J32" s="65">
        <f t="shared" si="2"/>
        <v>1.5104284334486695</v>
      </c>
    </row>
    <row r="33" spans="6:10" ht="24" x14ac:dyDescent="0.3">
      <c r="F33" s="57">
        <v>0.25</v>
      </c>
      <c r="G33" s="57">
        <f t="shared" si="3"/>
        <v>0.75</v>
      </c>
      <c r="H33" s="64">
        <f t="shared" si="0"/>
        <v>0.37834267661885096</v>
      </c>
      <c r="I33" s="38">
        <f t="shared" si="1"/>
        <v>0.23030213045743275</v>
      </c>
      <c r="J33" s="65">
        <f t="shared" si="2"/>
        <v>1.5190596627307933</v>
      </c>
    </row>
    <row r="34" spans="6:10" ht="24" x14ac:dyDescent="0.3">
      <c r="F34" s="57">
        <v>0.26</v>
      </c>
      <c r="G34" s="57">
        <f t="shared" si="3"/>
        <v>0.74</v>
      </c>
      <c r="H34" s="64">
        <f t="shared" si="0"/>
        <v>0.38060077176185192</v>
      </c>
      <c r="I34" s="38">
        <f t="shared" si="1"/>
        <v>0.23053197893200605</v>
      </c>
      <c r="J34" s="65">
        <f t="shared" si="2"/>
        <v>1.527340256189367</v>
      </c>
    </row>
    <row r="35" spans="6:10" ht="24" x14ac:dyDescent="0.3">
      <c r="F35" s="57">
        <v>0.27</v>
      </c>
      <c r="G35" s="57">
        <f t="shared" si="3"/>
        <v>0.73</v>
      </c>
      <c r="H35" s="64">
        <f t="shared" si="0"/>
        <v>0.38285886690485282</v>
      </c>
      <c r="I35" s="38">
        <f t="shared" si="1"/>
        <v>0.23081256492384125</v>
      </c>
      <c r="J35" s="65">
        <f t="shared" si="2"/>
        <v>1.5352667954700681</v>
      </c>
    </row>
    <row r="36" spans="6:10" ht="24" x14ac:dyDescent="0.3">
      <c r="F36" s="57">
        <v>0.28000000000000003</v>
      </c>
      <c r="G36" s="57">
        <f t="shared" si="3"/>
        <v>0.72</v>
      </c>
      <c r="H36" s="64">
        <f t="shared" si="0"/>
        <v>0.38511696204785373</v>
      </c>
      <c r="I36" s="38">
        <f t="shared" si="1"/>
        <v>0.23114370366176759</v>
      </c>
      <c r="J36" s="65">
        <f t="shared" si="2"/>
        <v>1.5428365834688322</v>
      </c>
    </row>
    <row r="37" spans="6:10" ht="24" x14ac:dyDescent="0.3">
      <c r="F37" s="57">
        <v>0.28999999999999998</v>
      </c>
      <c r="G37" s="57">
        <f t="shared" si="3"/>
        <v>0.71</v>
      </c>
      <c r="H37" s="64">
        <f t="shared" si="0"/>
        <v>0.38737505719085463</v>
      </c>
      <c r="I37" s="38">
        <f t="shared" si="1"/>
        <v>0.2315251782367885</v>
      </c>
      <c r="J37" s="65">
        <f t="shared" si="2"/>
        <v>1.5500476445970863</v>
      </c>
    </row>
    <row r="38" spans="6:10" ht="24" x14ac:dyDescent="0.3">
      <c r="F38" s="57">
        <v>0.3</v>
      </c>
      <c r="G38" s="57">
        <f t="shared" si="3"/>
        <v>0.7</v>
      </c>
      <c r="H38" s="64">
        <f t="shared" si="0"/>
        <v>0.38963315233385559</v>
      </c>
      <c r="I38" s="38">
        <f t="shared" si="1"/>
        <v>0.23195674030304742</v>
      </c>
      <c r="J38" s="65">
        <f t="shared" si="2"/>
        <v>1.5568987211237812</v>
      </c>
    </row>
    <row r="39" spans="6:10" ht="24" x14ac:dyDescent="0.3">
      <c r="F39" s="57">
        <v>0.31</v>
      </c>
      <c r="G39" s="57">
        <f t="shared" si="3"/>
        <v>0.69</v>
      </c>
      <c r="H39" s="64">
        <f t="shared" si="0"/>
        <v>0.39189124747685655</v>
      </c>
      <c r="I39" s="38">
        <f t="shared" si="1"/>
        <v>0.23243811087210961</v>
      </c>
      <c r="J39" s="65">
        <f t="shared" si="2"/>
        <v>1.5633892656991994</v>
      </c>
    </row>
    <row r="40" spans="6:10" ht="24" x14ac:dyDescent="0.3">
      <c r="F40" s="57">
        <v>0.32</v>
      </c>
      <c r="G40" s="57">
        <f t="shared" si="3"/>
        <v>0.67999999999999994</v>
      </c>
      <c r="H40" s="64">
        <f t="shared" si="0"/>
        <v>0.39414934261985746</v>
      </c>
      <c r="I40" s="38">
        <f t="shared" si="1"/>
        <v>0.23296898119474174</v>
      </c>
      <c r="J40" s="65">
        <f t="shared" si="2"/>
        <v>1.5695194302034847</v>
      </c>
    </row>
    <row r="41" spans="6:10" ht="24" x14ac:dyDescent="0.3">
      <c r="F41" s="57">
        <v>0.33</v>
      </c>
      <c r="G41" s="57">
        <f t="shared" si="3"/>
        <v>0.66999999999999993</v>
      </c>
      <c r="H41" s="64">
        <f t="shared" si="0"/>
        <v>0.39640743776285842</v>
      </c>
      <c r="I41" s="38">
        <f t="shared" si="1"/>
        <v>0.23354901372383863</v>
      </c>
      <c r="J41" s="65">
        <f t="shared" si="2"/>
        <v>1.575290051097765</v>
      </c>
    </row>
    <row r="42" spans="6:10" ht="24" x14ac:dyDescent="0.3">
      <c r="F42" s="57">
        <v>0.34</v>
      </c>
      <c r="G42" s="57">
        <f t="shared" si="3"/>
        <v>0.65999999999999992</v>
      </c>
      <c r="H42" s="64">
        <f t="shared" si="0"/>
        <v>0.39866553290585938</v>
      </c>
      <c r="I42" s="38">
        <f t="shared" si="1"/>
        <v>0.23417784315169668</v>
      </c>
      <c r="J42" s="65">
        <f t="shared" si="2"/>
        <v>1.580702631487096</v>
      </c>
    </row>
    <row r="43" spans="6:10" ht="24" x14ac:dyDescent="0.3">
      <c r="F43" s="57">
        <v>0.35</v>
      </c>
      <c r="G43" s="57">
        <f t="shared" si="3"/>
        <v>0.65</v>
      </c>
      <c r="H43" s="64">
        <f t="shared" si="0"/>
        <v>0.40092362804886028</v>
      </c>
      <c r="I43" s="38">
        <f t="shared" si="1"/>
        <v>0.23485507751446338</v>
      </c>
      <c r="J43" s="65">
        <f t="shared" si="2"/>
        <v>1.5857593201319005</v>
      </c>
    </row>
    <row r="44" spans="6:10" ht="24" x14ac:dyDescent="0.3">
      <c r="F44" s="57">
        <v>0.36</v>
      </c>
      <c r="G44" s="57">
        <f t="shared" si="3"/>
        <v>0.64</v>
      </c>
      <c r="H44" s="64">
        <f t="shared" si="0"/>
        <v>0.40318172319186119</v>
      </c>
      <c r="I44" s="38">
        <f t="shared" si="1"/>
        <v>0.23558029935631203</v>
      </c>
      <c r="J44" s="65">
        <f t="shared" si="2"/>
        <v>1.5904628876676996</v>
      </c>
    </row>
    <row r="45" spans="6:10" ht="24" x14ac:dyDescent="0.3">
      <c r="F45" s="57">
        <v>0.37</v>
      </c>
      <c r="G45" s="57">
        <f t="shared" si="3"/>
        <v>0.63</v>
      </c>
      <c r="H45" s="64">
        <f t="shared" si="0"/>
        <v>0.40543981833486215</v>
      </c>
      <c r="I45" s="38">
        <f t="shared" si="1"/>
        <v>0.23635306694569383</v>
      </c>
      <c r="J45" s="65">
        <f t="shared" si="2"/>
        <v>1.5948167003116169</v>
      </c>
    </row>
    <row r="46" spans="6:10" ht="24" x14ac:dyDescent="0.3">
      <c r="F46" s="57">
        <v>0.38</v>
      </c>
      <c r="G46" s="57">
        <f t="shared" si="3"/>
        <v>0.62</v>
      </c>
      <c r="H46" s="64">
        <f t="shared" si="0"/>
        <v>0.40769791347786311</v>
      </c>
      <c r="I46" s="38">
        <f t="shared" si="1"/>
        <v>0.2371729155359075</v>
      </c>
      <c r="J46" s="65">
        <f t="shared" si="2"/>
        <v>1.5988246913482551</v>
      </c>
    </row>
    <row r="47" spans="6:10" ht="24" x14ac:dyDescent="0.3">
      <c r="F47" s="57">
        <v>0.39</v>
      </c>
      <c r="G47" s="57">
        <f t="shared" si="3"/>
        <v>0.61</v>
      </c>
      <c r="H47" s="64">
        <f t="shared" si="0"/>
        <v>0.40995600862086401</v>
      </c>
      <c r="I47" s="38">
        <f t="shared" si="1"/>
        <v>0.23803935866219864</v>
      </c>
      <c r="J47" s="65">
        <f t="shared" si="2"/>
        <v>1.6024913306970707</v>
      </c>
    </row>
    <row r="48" spans="6:10" ht="24" x14ac:dyDescent="0.3">
      <c r="F48" s="57">
        <v>0.4</v>
      </c>
      <c r="G48" s="57">
        <f t="shared" si="3"/>
        <v>0.6</v>
      </c>
      <c r="H48" s="64">
        <f t="shared" si="0"/>
        <v>0.41221410376386497</v>
      </c>
      <c r="I48" s="38">
        <f t="shared" si="1"/>
        <v>0.23895188946765</v>
      </c>
      <c r="J48" s="65">
        <f t="shared" si="2"/>
        <v>1.6058215928684392</v>
      </c>
    </row>
    <row r="49" spans="6:10" ht="24" x14ac:dyDescent="0.3">
      <c r="F49" s="57">
        <v>0.41</v>
      </c>
      <c r="G49" s="57">
        <f t="shared" si="3"/>
        <v>0.59000000000000008</v>
      </c>
      <c r="H49" s="64">
        <f t="shared" si="0"/>
        <v>0.41447219890686593</v>
      </c>
      <c r="I49" s="38">
        <f t="shared" si="1"/>
        <v>0.23990998205024786</v>
      </c>
      <c r="J49" s="65">
        <f t="shared" si="2"/>
        <v>1.6088209236163675</v>
      </c>
    </row>
    <row r="50" spans="6:10" ht="24" x14ac:dyDescent="0.3">
      <c r="F50" s="57">
        <v>0.42</v>
      </c>
      <c r="G50" s="57">
        <f t="shared" si="3"/>
        <v>0.58000000000000007</v>
      </c>
      <c r="H50" s="64">
        <f t="shared" si="0"/>
        <v>0.41673029404986683</v>
      </c>
      <c r="I50" s="38">
        <f t="shared" si="1"/>
        <v>0.24091309282370171</v>
      </c>
      <c r="J50" s="65">
        <f t="shared" si="2"/>
        <v>1.611495205592544</v>
      </c>
    </row>
    <row r="51" spans="6:10" ht="24" x14ac:dyDescent="0.3">
      <c r="F51" s="57">
        <v>0.43</v>
      </c>
      <c r="G51" s="57">
        <f t="shared" si="3"/>
        <v>0.57000000000000006</v>
      </c>
      <c r="H51" s="64">
        <f t="shared" si="0"/>
        <v>0.41898838919286774</v>
      </c>
      <c r="I51" s="38">
        <f t="shared" si="1"/>
        <v>0.24196066188484824</v>
      </c>
      <c r="J51" s="65">
        <f t="shared" si="2"/>
        <v>1.6138507232994157</v>
      </c>
    </row>
    <row r="52" spans="6:10" ht="24" x14ac:dyDescent="0.3">
      <c r="F52" s="57">
        <v>0.44</v>
      </c>
      <c r="G52" s="57">
        <f t="shared" si="3"/>
        <v>0.56000000000000005</v>
      </c>
      <c r="H52" s="64">
        <f t="shared" si="0"/>
        <v>0.4212464843358687</v>
      </c>
      <c r="I52" s="38">
        <f t="shared" si="1"/>
        <v>0.24305211438077889</v>
      </c>
      <c r="J52" s="65">
        <f t="shared" si="2"/>
        <v>1.6158941276296419</v>
      </c>
    </row>
    <row r="53" spans="6:10" ht="24" x14ac:dyDescent="0.3">
      <c r="F53" s="57">
        <v>0.45</v>
      </c>
      <c r="G53" s="57">
        <f t="shared" si="3"/>
        <v>0.55000000000000004</v>
      </c>
      <c r="H53" s="64">
        <f t="shared" si="0"/>
        <v>0.42350457947886966</v>
      </c>
      <c r="I53" s="38">
        <f t="shared" si="1"/>
        <v>0.24418686186918748</v>
      </c>
      <c r="J53" s="65">
        <f t="shared" si="2"/>
        <v>1.6176324002659743</v>
      </c>
    </row>
    <row r="54" spans="6:10" ht="24" x14ac:dyDescent="0.3">
      <c r="F54" s="57">
        <v>0.46</v>
      </c>
      <c r="G54" s="57">
        <f t="shared" si="3"/>
        <v>0.54</v>
      </c>
      <c r="H54" s="64">
        <f t="shared" si="0"/>
        <v>0.42576267462187062</v>
      </c>
      <c r="I54" s="38">
        <f t="shared" si="1"/>
        <v>0.2453643036658289</v>
      </c>
      <c r="J54" s="65">
        <f t="shared" si="2"/>
        <v>1.6190728181998224</v>
      </c>
    </row>
    <row r="55" spans="6:10" ht="24" x14ac:dyDescent="0.3">
      <c r="F55" s="57">
        <v>0.47</v>
      </c>
      <c r="G55" s="57">
        <f t="shared" si="3"/>
        <v>0.53</v>
      </c>
      <c r="H55" s="64">
        <f t="shared" si="0"/>
        <v>0.42802076976487147</v>
      </c>
      <c r="I55" s="38">
        <f t="shared" si="1"/>
        <v>0.24658382817340965</v>
      </c>
      <c r="J55" s="65">
        <f t="shared" si="2"/>
        <v>1.6202229186088764</v>
      </c>
    </row>
    <row r="56" spans="6:10" ht="24" x14ac:dyDescent="0.3">
      <c r="F56" s="57">
        <v>0.48</v>
      </c>
      <c r="G56" s="57">
        <f t="shared" si="3"/>
        <v>0.52</v>
      </c>
      <c r="H56" s="64">
        <f t="shared" si="0"/>
        <v>0.43027886490787243</v>
      </c>
      <c r="I56" s="38">
        <f t="shared" si="1"/>
        <v>0.2478448141866825</v>
      </c>
      <c r="J56" s="65">
        <f t="shared" si="2"/>
        <v>1.6210904643146706</v>
      </c>
    </row>
    <row r="57" spans="6:10" ht="24" x14ac:dyDescent="0.3">
      <c r="F57" s="57">
        <v>0.49</v>
      </c>
      <c r="G57" s="57">
        <f t="shared" si="3"/>
        <v>0.51</v>
      </c>
      <c r="H57" s="64">
        <f t="shared" si="0"/>
        <v>0.43253696005087339</v>
      </c>
      <c r="I57" s="38">
        <f t="shared" si="1"/>
        <v>0.24914663216898955</v>
      </c>
      <c r="J57" s="65">
        <f t="shared" si="2"/>
        <v>1.6216834100202719</v>
      </c>
    </row>
    <row r="58" spans="6:10" ht="24" x14ac:dyDescent="0.3">
      <c r="F58" s="57">
        <v>0.5</v>
      </c>
      <c r="G58" s="57">
        <f t="shared" si="3"/>
        <v>0.5</v>
      </c>
      <c r="H58" s="64">
        <f t="shared" si="0"/>
        <v>0.43479505519387429</v>
      </c>
      <c r="I58" s="38">
        <f t="shared" si="1"/>
        <v>0.25048864549597744</v>
      </c>
      <c r="J58" s="65">
        <f t="shared" si="2"/>
        <v>1.6220098695068352</v>
      </c>
    </row>
    <row r="59" spans="6:10" ht="24" x14ac:dyDescent="0.3">
      <c r="F59" s="79">
        <v>0.51</v>
      </c>
      <c r="G59" s="79">
        <f t="shared" si="3"/>
        <v>0.49</v>
      </c>
      <c r="H59" s="80">
        <f t="shared" si="0"/>
        <v>0.4370531503368752</v>
      </c>
      <c r="I59" s="81">
        <f t="shared" si="1"/>
        <v>0.25187021166269374</v>
      </c>
      <c r="J59" s="82">
        <f>(H59-$C$15)/I59</f>
        <v>1.6220780839459183</v>
      </c>
    </row>
    <row r="60" spans="6:10" ht="24" x14ac:dyDescent="0.3">
      <c r="F60" s="57">
        <v>0.52</v>
      </c>
      <c r="G60" s="57">
        <f t="shared" si="3"/>
        <v>0.48</v>
      </c>
      <c r="H60" s="64">
        <f t="shared" si="0"/>
        <v>0.43931124547987616</v>
      </c>
      <c r="I60" s="38">
        <f t="shared" si="1"/>
        <v>0.25329068345075767</v>
      </c>
      <c r="J60" s="65">
        <f t="shared" si="2"/>
        <v>1.6218963914625864</v>
      </c>
    </row>
    <row r="61" spans="6:10" ht="24" x14ac:dyDescent="0.3">
      <c r="F61" s="57">
        <v>0.53</v>
      </c>
      <c r="G61" s="57">
        <f t="shared" si="3"/>
        <v>0.47</v>
      </c>
      <c r="H61" s="64">
        <f t="shared" si="0"/>
        <v>0.44156934062287712</v>
      </c>
      <c r="I61" s="38">
        <f t="shared" si="1"/>
        <v>0.25474941005277074</v>
      </c>
      <c r="J61" s="65">
        <f t="shared" si="2"/>
        <v>1.6214731980627972</v>
      </c>
    </row>
    <row r="62" spans="6:10" ht="24" x14ac:dyDescent="0.3">
      <c r="F62" s="57">
        <v>0.54</v>
      </c>
      <c r="G62" s="57">
        <f t="shared" si="3"/>
        <v>0.45999999999999996</v>
      </c>
      <c r="H62" s="64">
        <f t="shared" si="0"/>
        <v>0.44382743576587802</v>
      </c>
      <c r="I62" s="38">
        <f t="shared" si="1"/>
        <v>0.2562457381516004</v>
      </c>
      <c r="J62" s="65">
        <f t="shared" si="2"/>
        <v>1.6208169500175706</v>
      </c>
    </row>
    <row r="63" spans="6:10" ht="24" x14ac:dyDescent="0.3">
      <c r="F63" s="57">
        <v>0.55000000000000004</v>
      </c>
      <c r="G63" s="57">
        <f t="shared" si="3"/>
        <v>0.44999999999999996</v>
      </c>
      <c r="H63" s="64">
        <f t="shared" si="0"/>
        <v>0.44608553090887892</v>
      </c>
      <c r="I63" s="38">
        <f t="shared" si="1"/>
        <v>0.25777901295261307</v>
      </c>
      <c r="J63" s="65">
        <f t="shared" si="2"/>
        <v>1.619936107776325</v>
      </c>
    </row>
    <row r="64" spans="6:10" ht="24" x14ac:dyDescent="0.3">
      <c r="F64" s="57">
        <v>0.56000000000000005</v>
      </c>
      <c r="G64" s="57">
        <f t="shared" si="3"/>
        <v>0.43999999999999995</v>
      </c>
      <c r="H64" s="64">
        <f t="shared" si="0"/>
        <v>0.44834362605187994</v>
      </c>
      <c r="I64" s="38">
        <f t="shared" si="1"/>
        <v>0.25934857916736193</v>
      </c>
      <c r="J64" s="65">
        <f t="shared" si="2"/>
        <v>1.6188391214626547</v>
      </c>
    </row>
    <row r="65" spans="6:10" ht="24" x14ac:dyDescent="0.3">
      <c r="F65" s="57">
        <v>0.56999999999999995</v>
      </c>
      <c r="G65" s="57">
        <f t="shared" si="3"/>
        <v>0.43000000000000005</v>
      </c>
      <c r="H65" s="64">
        <f t="shared" si="0"/>
        <v>0.45060172119488084</v>
      </c>
      <c r="I65" s="38">
        <f t="shared" si="1"/>
        <v>0.26095378194763991</v>
      </c>
      <c r="J65" s="65">
        <f t="shared" si="2"/>
        <v>1.6175344079879059</v>
      </c>
    </row>
    <row r="66" spans="6:10" ht="24" x14ac:dyDescent="0.3">
      <c r="F66" s="57">
        <v>0.57999999999999996</v>
      </c>
      <c r="G66" s="57">
        <f t="shared" si="3"/>
        <v>0.42000000000000004</v>
      </c>
      <c r="H66" s="64">
        <f t="shared" si="0"/>
        <v>0.45285981633788175</v>
      </c>
      <c r="I66" s="38">
        <f t="shared" si="1"/>
        <v>0.26259396776918625</v>
      </c>
      <c r="J66" s="65">
        <f t="shared" si="2"/>
        <v>1.6160303298013445</v>
      </c>
    </row>
    <row r="67" spans="6:10" ht="24" x14ac:dyDescent="0.3">
      <c r="F67" s="57">
        <v>0.59</v>
      </c>
      <c r="G67" s="57">
        <f t="shared" si="3"/>
        <v>0.41000000000000003</v>
      </c>
      <c r="H67" s="64">
        <f t="shared" si="0"/>
        <v>0.45511791148088265</v>
      </c>
      <c r="I67" s="38">
        <f t="shared" si="1"/>
        <v>0.26426848526468971</v>
      </c>
      <c r="J67" s="65">
        <f t="shared" si="2"/>
        <v>1.6143351752804906</v>
      </c>
    </row>
    <row r="68" spans="6:10" ht="24" x14ac:dyDescent="0.3">
      <c r="F68" s="57">
        <v>0.6</v>
      </c>
      <c r="G68" s="57">
        <f t="shared" si="3"/>
        <v>0.4</v>
      </c>
      <c r="H68" s="64">
        <f t="shared" si="0"/>
        <v>0.45737600662388361</v>
      </c>
      <c r="I68" s="38">
        <f t="shared" si="1"/>
        <v>0.26597668600605517</v>
      </c>
      <c r="J68" s="65">
        <f t="shared" si="2"/>
        <v>1.6124571407515014</v>
      </c>
    </row>
    <row r="69" spans="6:10" ht="24" x14ac:dyDescent="0.3">
      <c r="F69" s="57">
        <v>0.61</v>
      </c>
      <c r="G69" s="57">
        <f t="shared" si="3"/>
        <v>0.39</v>
      </c>
      <c r="H69" s="64">
        <f t="shared" si="0"/>
        <v>0.45963410176688457</v>
      </c>
      <c r="I69" s="38">
        <f t="shared" si="1"/>
        <v>0.26771792523619869</v>
      </c>
      <c r="J69" s="65">
        <f t="shared" si="2"/>
        <v>1.6104043141172155</v>
      </c>
    </row>
    <row r="70" spans="6:10" ht="24" x14ac:dyDescent="0.3">
      <c r="F70" s="57">
        <v>0.62</v>
      </c>
      <c r="G70" s="57">
        <f t="shared" si="3"/>
        <v>0.38</v>
      </c>
      <c r="H70" s="64">
        <f t="shared" si="0"/>
        <v>0.46189219690988548</v>
      </c>
      <c r="I70" s="38">
        <f t="shared" si="1"/>
        <v>0.26949156255090267</v>
      </c>
      <c r="J70" s="65">
        <f t="shared" si="2"/>
        <v>1.6081846600597172</v>
      </c>
    </row>
    <row r="71" spans="6:10" ht="24" x14ac:dyDescent="0.3">
      <c r="F71" s="57">
        <v>0.63</v>
      </c>
      <c r="G71" s="57">
        <f t="shared" si="3"/>
        <v>0.37</v>
      </c>
      <c r="H71" s="64">
        <f t="shared" si="0"/>
        <v>0.46415029205288644</v>
      </c>
      <c r="I71" s="38">
        <f t="shared" si="1"/>
        <v>0.27129696253150415</v>
      </c>
      <c r="J71" s="65">
        <f t="shared" si="2"/>
        <v>1.6058060067749444</v>
      </c>
    </row>
    <row r="72" spans="6:10" ht="24" x14ac:dyDescent="0.3">
      <c r="F72" s="57">
        <v>0.64</v>
      </c>
      <c r="G72" s="57">
        <f t="shared" si="3"/>
        <v>0.36</v>
      </c>
      <c r="H72" s="64">
        <f t="shared" si="0"/>
        <v>0.46640838719588734</v>
      </c>
      <c r="I72" s="38">
        <f t="shared" si="1"/>
        <v>0.27313349532939873</v>
      </c>
      <c r="J72" s="65">
        <f t="shared" si="2"/>
        <v>1.6032760341889603</v>
      </c>
    </row>
    <row r="73" spans="6:10" ht="24" x14ac:dyDescent="0.3">
      <c r="F73" s="57">
        <v>0.65</v>
      </c>
      <c r="G73" s="57">
        <f t="shared" si="3"/>
        <v>0.35</v>
      </c>
      <c r="H73" s="64">
        <f t="shared" ref="H73:H108" si="6">(F73*$C$6)+(G73*$C$7)</f>
        <v>0.4686664823388883</v>
      </c>
      <c r="I73" s="38">
        <f t="shared" ref="I73:I108" si="7">SQRT((F73^2*$C$10^2)+(G73^2*$C$11^2)+(2*F73*G73*$C$13*$C$10*$C$11))</f>
        <v>0.27500053720353002</v>
      </c>
      <c r="J73" s="65">
        <f t="shared" ref="J73:J108" si="8">(H73-$C$15)/I73</f>
        <v>1.6006022635989168</v>
      </c>
    </row>
    <row r="74" spans="6:10" ht="24" x14ac:dyDescent="0.3">
      <c r="F74" s="57">
        <v>0.66</v>
      </c>
      <c r="G74" s="57">
        <f t="shared" ref="G74:G108" si="9">1-F74</f>
        <v>0.33999999999999997</v>
      </c>
      <c r="H74" s="64">
        <f t="shared" si="6"/>
        <v>0.47092457748188921</v>
      </c>
      <c r="I74" s="38">
        <f t="shared" si="7"/>
        <v>0.27689747101218981</v>
      </c>
      <c r="J74" s="65">
        <f t="shared" si="8"/>
        <v>1.5977920486764301</v>
      </c>
    </row>
    <row r="75" spans="6:10" ht="24" x14ac:dyDescent="0.3">
      <c r="F75" s="57">
        <v>0.67</v>
      </c>
      <c r="G75" s="57">
        <f t="shared" si="9"/>
        <v>0.32999999999999996</v>
      </c>
      <c r="H75" s="64">
        <f t="shared" si="6"/>
        <v>0.47318267262489017</v>
      </c>
      <c r="I75" s="38">
        <f t="shared" si="7"/>
        <v>0.27882368666059199</v>
      </c>
      <c r="J75" s="65">
        <f t="shared" si="8"/>
        <v>1.5948525677669412</v>
      </c>
    </row>
    <row r="76" spans="6:10" ht="24" x14ac:dyDescent="0.3">
      <c r="F76" s="57">
        <v>0.68</v>
      </c>
      <c r="G76" s="57">
        <f t="shared" si="9"/>
        <v>0.31999999999999995</v>
      </c>
      <c r="H76" s="64">
        <f t="shared" si="6"/>
        <v>0.47544076776789113</v>
      </c>
      <c r="I76" s="38">
        <f t="shared" si="7"/>
        <v>0.28077858150578811</v>
      </c>
      <c r="J76" s="65">
        <f t="shared" si="8"/>
        <v>1.5917908174155999</v>
      </c>
    </row>
    <row r="77" spans="6:10" ht="24" x14ac:dyDescent="0.3">
      <c r="F77" s="57">
        <v>0.69</v>
      </c>
      <c r="G77" s="57">
        <f t="shared" si="9"/>
        <v>0.31000000000000005</v>
      </c>
      <c r="H77" s="64">
        <f t="shared" si="6"/>
        <v>0.47769886291089203</v>
      </c>
      <c r="I77" s="38">
        <f t="shared" si="7"/>
        <v>0.28276156072058672</v>
      </c>
      <c r="J77" s="65">
        <f t="shared" si="8"/>
        <v>1.5886136070481367</v>
      </c>
    </row>
    <row r="78" spans="6:10" ht="24" x14ac:dyDescent="0.3">
      <c r="F78" s="57">
        <v>0.7</v>
      </c>
      <c r="G78" s="57">
        <f t="shared" si="9"/>
        <v>0.30000000000000004</v>
      </c>
      <c r="H78" s="64">
        <f t="shared" si="6"/>
        <v>0.47995695805389293</v>
      </c>
      <c r="I78" s="38">
        <f t="shared" si="7"/>
        <v>0.28477203761820202</v>
      </c>
      <c r="J78" s="65">
        <f t="shared" si="8"/>
        <v>1.5853275547340353</v>
      </c>
    </row>
    <row r="79" spans="6:10" ht="24" x14ac:dyDescent="0.3">
      <c r="F79" s="57">
        <v>0.71</v>
      </c>
      <c r="G79" s="57">
        <f t="shared" si="9"/>
        <v>0.29000000000000004</v>
      </c>
      <c r="H79" s="64">
        <f t="shared" si="6"/>
        <v>0.48221505319689389</v>
      </c>
      <c r="I79" s="38">
        <f t="shared" si="7"/>
        <v>0.28680943393940928</v>
      </c>
      <c r="J79" s="65">
        <f t="shared" si="8"/>
        <v>1.5819390839589491</v>
      </c>
    </row>
    <row r="80" spans="6:10" ht="24" x14ac:dyDescent="0.3">
      <c r="F80" s="57">
        <v>0.72</v>
      </c>
      <c r="G80" s="57">
        <f t="shared" si="9"/>
        <v>0.28000000000000003</v>
      </c>
      <c r="H80" s="64">
        <f t="shared" si="6"/>
        <v>0.4844731483398948</v>
      </c>
      <c r="I80" s="38">
        <f t="shared" si="7"/>
        <v>0.28887318010401564</v>
      </c>
      <c r="J80" s="65">
        <f t="shared" si="8"/>
        <v>1.5784544213336482</v>
      </c>
    </row>
    <row r="81" spans="6:10" ht="24" x14ac:dyDescent="0.3">
      <c r="F81" s="57">
        <v>0.73</v>
      </c>
      <c r="G81" s="57">
        <f t="shared" si="9"/>
        <v>0.27</v>
      </c>
      <c r="H81" s="64">
        <f t="shared" si="6"/>
        <v>0.48673124348289576</v>
      </c>
      <c r="I81" s="38">
        <f t="shared" si="7"/>
        <v>0.29096271542847346</v>
      </c>
      <c r="J81" s="65">
        <f t="shared" si="8"/>
        <v>1.5748795951677232</v>
      </c>
    </row>
    <row r="82" spans="6:10" ht="24" x14ac:dyDescent="0.3">
      <c r="F82" s="57">
        <v>0.74</v>
      </c>
      <c r="G82" s="57">
        <f t="shared" si="9"/>
        <v>0.26</v>
      </c>
      <c r="H82" s="64">
        <f t="shared" si="6"/>
        <v>0.48898933862589666</v>
      </c>
      <c r="I82" s="38">
        <f t="shared" si="7"/>
        <v>0.29307748831146285</v>
      </c>
      <c r="J82" s="65">
        <f t="shared" si="8"/>
        <v>1.571220434837765</v>
      </c>
    </row>
    <row r="83" spans="6:10" ht="24" x14ac:dyDescent="0.3">
      <c r="F83" s="57">
        <v>0.75</v>
      </c>
      <c r="G83" s="57">
        <f t="shared" si="9"/>
        <v>0.25</v>
      </c>
      <c r="H83" s="64">
        <f t="shared" si="6"/>
        <v>0.49124743376889762</v>
      </c>
      <c r="I83" s="38">
        <f t="shared" si="7"/>
        <v>0.29521695638926548</v>
      </c>
      <c r="J83" s="65">
        <f t="shared" si="8"/>
        <v>1.5674825708816358</v>
      </c>
    </row>
    <row r="84" spans="6:10" ht="24" x14ac:dyDescent="0.3">
      <c r="F84" s="57">
        <v>0.76</v>
      </c>
      <c r="G84" s="57">
        <f t="shared" si="9"/>
        <v>0.24</v>
      </c>
      <c r="H84" s="64">
        <f t="shared" si="6"/>
        <v>0.49350552891189858</v>
      </c>
      <c r="I84" s="38">
        <f t="shared" si="7"/>
        <v>0.29738058666272821</v>
      </c>
      <c r="J84" s="65">
        <f t="shared" si="8"/>
        <v>1.5636714357527339</v>
      </c>
    </row>
    <row r="85" spans="6:10" ht="24" x14ac:dyDescent="0.3">
      <c r="F85" s="57">
        <v>0.77</v>
      </c>
      <c r="G85" s="57">
        <f t="shared" si="9"/>
        <v>0.22999999999999998</v>
      </c>
      <c r="H85" s="64">
        <f t="shared" si="6"/>
        <v>0.49576362405489949</v>
      </c>
      <c r="I85" s="38">
        <f t="shared" si="7"/>
        <v>0.29956785559758636</v>
      </c>
      <c r="J85" s="65">
        <f t="shared" si="8"/>
        <v>1.559792265170737</v>
      </c>
    </row>
    <row r="86" spans="6:10" ht="24" x14ac:dyDescent="0.3">
      <c r="F86" s="57">
        <v>0.78</v>
      </c>
      <c r="G86" s="57">
        <f t="shared" si="9"/>
        <v>0.21999999999999997</v>
      </c>
      <c r="H86" s="64">
        <f t="shared" si="6"/>
        <v>0.49802171919790045</v>
      </c>
      <c r="I86" s="38">
        <f t="shared" si="7"/>
        <v>0.30177824919988078</v>
      </c>
      <c r="J86" s="65">
        <f t="shared" si="8"/>
        <v>1.5558501000080887</v>
      </c>
    </row>
    <row r="87" spans="6:10" ht="24" x14ac:dyDescent="0.3">
      <c r="F87" s="57">
        <v>0.79</v>
      </c>
      <c r="G87" s="57">
        <f t="shared" si="9"/>
        <v>0.20999999999999996</v>
      </c>
      <c r="H87" s="64">
        <f t="shared" si="6"/>
        <v>0.50027981434090141</v>
      </c>
      <c r="I87" s="38">
        <f t="shared" si="7"/>
        <v>0.30401126306815573</v>
      </c>
      <c r="J87" s="65">
        <f t="shared" si="8"/>
        <v>1.5518497886544877</v>
      </c>
    </row>
    <row r="88" spans="6:10" ht="24" x14ac:dyDescent="0.3">
      <c r="F88" s="57">
        <v>0.8</v>
      </c>
      <c r="G88" s="57">
        <f t="shared" si="9"/>
        <v>0.19999999999999996</v>
      </c>
      <c r="H88" s="64">
        <f t="shared" si="6"/>
        <v>0.50253790948390231</v>
      </c>
      <c r="I88" s="38">
        <f t="shared" si="7"/>
        <v>0.30626640242407671</v>
      </c>
      <c r="J88" s="65">
        <f t="shared" si="8"/>
        <v>1.5477959898047127</v>
      </c>
    </row>
    <row r="89" spans="6:10" ht="24" x14ac:dyDescent="0.3">
      <c r="F89" s="57">
        <v>0.81</v>
      </c>
      <c r="G89" s="57">
        <f t="shared" si="9"/>
        <v>0.18999999999999995</v>
      </c>
      <c r="H89" s="64">
        <f t="shared" si="6"/>
        <v>0.50479600462690322</v>
      </c>
      <c r="I89" s="38">
        <f t="shared" si="7"/>
        <v>0.30854318212305171</v>
      </c>
      <c r="J89" s="65">
        <f t="shared" si="8"/>
        <v>1.5436931756182806</v>
      </c>
    </row>
    <row r="90" spans="6:10" ht="24" x14ac:dyDescent="0.3">
      <c r="F90" s="57">
        <v>0.82</v>
      </c>
      <c r="G90" s="57">
        <f t="shared" si="9"/>
        <v>0.18000000000000005</v>
      </c>
      <c r="H90" s="64">
        <f t="shared" si="6"/>
        <v>0.50705409976990412</v>
      </c>
      <c r="I90" s="38">
        <f t="shared" si="7"/>
        <v>0.31084112664638158</v>
      </c>
      <c r="J90" s="65">
        <f t="shared" si="8"/>
        <v>1.539545635202628</v>
      </c>
    </row>
    <row r="91" spans="6:10" ht="24" x14ac:dyDescent="0.3">
      <c r="F91" s="57">
        <v>0.83</v>
      </c>
      <c r="G91" s="57">
        <f t="shared" si="9"/>
        <v>0.17000000000000004</v>
      </c>
      <c r="H91" s="64">
        <f t="shared" si="6"/>
        <v>0.50931219491290514</v>
      </c>
      <c r="I91" s="38">
        <f t="shared" si="7"/>
        <v>0.31315977007640378</v>
      </c>
      <c r="J91" s="65">
        <f t="shared" si="8"/>
        <v>1.5353574783746904</v>
      </c>
    </row>
    <row r="92" spans="6:10" ht="24" x14ac:dyDescent="0.3">
      <c r="F92" s="57">
        <v>0.84</v>
      </c>
      <c r="G92" s="57">
        <f t="shared" si="9"/>
        <v>0.16000000000000003</v>
      </c>
      <c r="H92" s="64">
        <f t="shared" si="6"/>
        <v>0.51157029005590604</v>
      </c>
      <c r="I92" s="38">
        <f t="shared" si="7"/>
        <v>0.31549865605603039</v>
      </c>
      <c r="J92" s="65">
        <f t="shared" si="8"/>
        <v>1.5311326396589025</v>
      </c>
    </row>
    <row r="93" spans="6:10" ht="24" x14ac:dyDescent="0.3">
      <c r="F93" s="57">
        <v>0.85</v>
      </c>
      <c r="G93" s="57">
        <f t="shared" si="9"/>
        <v>0.15000000000000002</v>
      </c>
      <c r="H93" s="64">
        <f t="shared" si="6"/>
        <v>0.51382838519890695</v>
      </c>
      <c r="I93" s="38">
        <f t="shared" si="7"/>
        <v>0.31785733773401814</v>
      </c>
      <c r="J93" s="65">
        <f t="shared" si="8"/>
        <v>1.5268748824827443</v>
      </c>
    </row>
    <row r="94" spans="6:10" ht="24" x14ac:dyDescent="0.3">
      <c r="F94" s="57">
        <v>0.86</v>
      </c>
      <c r="G94" s="57">
        <f t="shared" si="9"/>
        <v>0.14000000000000001</v>
      </c>
      <c r="H94" s="64">
        <f t="shared" si="6"/>
        <v>0.51608648034190785</v>
      </c>
      <c r="I94" s="38">
        <f t="shared" si="7"/>
        <v>0.32023537769724175</v>
      </c>
      <c r="J94" s="65">
        <f t="shared" si="8"/>
        <v>1.5225878035339488</v>
      </c>
    </row>
    <row r="95" spans="6:10" ht="24" x14ac:dyDescent="0.3">
      <c r="F95" s="57">
        <v>0.87</v>
      </c>
      <c r="G95" s="57">
        <f t="shared" si="9"/>
        <v>0.13</v>
      </c>
      <c r="H95" s="64">
        <f t="shared" si="6"/>
        <v>0.51834457548490886</v>
      </c>
      <c r="I95" s="38">
        <f t="shared" si="7"/>
        <v>0.32263234789117712</v>
      </c>
      <c r="J95" s="65">
        <f t="shared" si="8"/>
        <v>1.5182748372464248</v>
      </c>
    </row>
    <row r="96" spans="6:10" ht="24" x14ac:dyDescent="0.3">
      <c r="F96" s="57">
        <v>0.88</v>
      </c>
      <c r="G96" s="57">
        <f t="shared" si="9"/>
        <v>0.12</v>
      </c>
      <c r="H96" s="64">
        <f t="shared" si="6"/>
        <v>0.52060267062790977</v>
      </c>
      <c r="I96" s="38">
        <f t="shared" si="7"/>
        <v>0.32504782952973704</v>
      </c>
      <c r="J96" s="65">
        <f t="shared" si="8"/>
        <v>1.5139392603847235</v>
      </c>
    </row>
    <row r="97" spans="6:10" ht="24" x14ac:dyDescent="0.3">
      <c r="F97" s="57">
        <v>0.89</v>
      </c>
      <c r="G97" s="57">
        <f t="shared" si="9"/>
        <v>0.10999999999999999</v>
      </c>
      <c r="H97" s="64">
        <f t="shared" si="6"/>
        <v>0.52286076577091067</v>
      </c>
      <c r="I97" s="38">
        <f t="shared" si="7"/>
        <v>0.32748141299553712</v>
      </c>
      <c r="J97" s="65">
        <f t="shared" si="8"/>
        <v>1.509584196699578</v>
      </c>
    </row>
    <row r="98" spans="6:10" ht="24" x14ac:dyDescent="0.3">
      <c r="F98" s="57">
        <v>0.9</v>
      </c>
      <c r="G98" s="57">
        <f t="shared" si="9"/>
        <v>9.9999999999999978E-2</v>
      </c>
      <c r="H98" s="64">
        <f t="shared" si="6"/>
        <v>0.52511886091391158</v>
      </c>
      <c r="I98" s="38">
        <f t="shared" si="7"/>
        <v>0.32993269773160572</v>
      </c>
      <c r="J98" s="65">
        <f t="shared" si="8"/>
        <v>1.5052126216295847</v>
      </c>
    </row>
    <row r="99" spans="6:10" ht="24" x14ac:dyDescent="0.3">
      <c r="F99" s="57">
        <v>0.91</v>
      </c>
      <c r="G99" s="57">
        <f t="shared" si="9"/>
        <v>8.9999999999999969E-2</v>
      </c>
      <c r="H99" s="64">
        <f t="shared" si="6"/>
        <v>0.52737695605691259</v>
      </c>
      <c r="I99" s="38">
        <f t="shared" si="7"/>
        <v>0.33240129212549357</v>
      </c>
      <c r="J99" s="65">
        <f t="shared" si="8"/>
        <v>1.5008273670265047</v>
      </c>
    </row>
    <row r="100" spans="6:10" ht="24" x14ac:dyDescent="0.3">
      <c r="F100" s="57">
        <v>0.92</v>
      </c>
      <c r="G100" s="57">
        <f t="shared" si="9"/>
        <v>7.999999999999996E-2</v>
      </c>
      <c r="H100" s="64">
        <f t="shared" si="6"/>
        <v>0.5296350511999135</v>
      </c>
      <c r="I100" s="38">
        <f t="shared" si="7"/>
        <v>0.33488681338667459</v>
      </c>
      <c r="J100" s="65">
        <f t="shared" si="8"/>
        <v>1.4964311258839613</v>
      </c>
    </row>
    <row r="101" spans="6:10" ht="24" x14ac:dyDescent="0.3">
      <c r="F101" s="57">
        <v>0.93</v>
      </c>
      <c r="G101" s="57">
        <f t="shared" si="9"/>
        <v>6.9999999999999951E-2</v>
      </c>
      <c r="H101" s="64">
        <f t="shared" si="6"/>
        <v>0.5318931463429144</v>
      </c>
      <c r="I101" s="38">
        <f t="shared" si="7"/>
        <v>0.33738888741807443</v>
      </c>
      <c r="J101" s="65">
        <f t="shared" si="8"/>
        <v>1.492026457051433</v>
      </c>
    </row>
    <row r="102" spans="6:10" ht="24" x14ac:dyDescent="0.3">
      <c r="F102" s="57">
        <v>0.94</v>
      </c>
      <c r="G102" s="57">
        <f t="shared" si="9"/>
        <v>6.0000000000000053E-2</v>
      </c>
      <c r="H102" s="64">
        <f t="shared" si="6"/>
        <v>0.53415124148591531</v>
      </c>
      <c r="I102" s="38">
        <f t="shared" si="7"/>
        <v>0.33990714868250693</v>
      </c>
      <c r="J102" s="65">
        <f t="shared" si="8"/>
        <v>1.4876157899174489</v>
      </c>
    </row>
    <row r="103" spans="6:10" ht="24" x14ac:dyDescent="0.3">
      <c r="F103" s="57">
        <v>0.95</v>
      </c>
      <c r="G103" s="57">
        <f t="shared" si="9"/>
        <v>5.0000000000000044E-2</v>
      </c>
      <c r="H103" s="64">
        <f t="shared" si="6"/>
        <v>0.53640933662891621</v>
      </c>
      <c r="I103" s="38">
        <f t="shared" si="7"/>
        <v>0.34244124006474264</v>
      </c>
      <c r="J103" s="65">
        <f t="shared" si="8"/>
        <v>1.4832014290477684</v>
      </c>
    </row>
    <row r="104" spans="6:10" ht="24" x14ac:dyDescent="0.3">
      <c r="F104" s="57">
        <v>0.96</v>
      </c>
      <c r="G104" s="57">
        <f t="shared" si="9"/>
        <v>4.0000000000000036E-2</v>
      </c>
      <c r="H104" s="64">
        <f t="shared" si="6"/>
        <v>0.53866743177191723</v>
      </c>
      <c r="I104" s="38">
        <f t="shared" si="7"/>
        <v>0.34499081272988497</v>
      </c>
      <c r="J104" s="65">
        <f t="shared" si="8"/>
        <v>1.4787855587660517</v>
      </c>
    </row>
    <row r="105" spans="6:10" ht="24" x14ac:dyDescent="0.3">
      <c r="F105" s="57">
        <v>0.97</v>
      </c>
      <c r="G105" s="57">
        <f t="shared" si="9"/>
        <v>3.0000000000000027E-2</v>
      </c>
      <c r="H105" s="64">
        <f t="shared" si="6"/>
        <v>0.54092552691491813</v>
      </c>
      <c r="I105" s="38">
        <f t="shared" si="7"/>
        <v>0.34755552597867795</v>
      </c>
      <c r="J105" s="65">
        <f t="shared" si="8"/>
        <v>1.4743702476661378</v>
      </c>
    </row>
    <row r="106" spans="6:10" ht="24" x14ac:dyDescent="0.3">
      <c r="F106" s="57">
        <v>0.98</v>
      </c>
      <c r="G106" s="57">
        <f t="shared" si="9"/>
        <v>2.0000000000000018E-2</v>
      </c>
      <c r="H106" s="64">
        <f t="shared" si="6"/>
        <v>0.54318362205791904</v>
      </c>
      <c r="I106" s="38">
        <f t="shared" si="7"/>
        <v>0.35013504710032306</v>
      </c>
      <c r="J106" s="65">
        <f t="shared" si="8"/>
        <v>1.4699574530465338</v>
      </c>
    </row>
    <row r="107" spans="6:10" ht="24" x14ac:dyDescent="0.3">
      <c r="F107" s="57">
        <v>0.99</v>
      </c>
      <c r="G107" s="57">
        <f t="shared" si="9"/>
        <v>1.0000000000000009E-2</v>
      </c>
      <c r="H107" s="64">
        <f t="shared" si="6"/>
        <v>0.54544171720091994</v>
      </c>
      <c r="I107" s="38">
        <f t="shared" si="7"/>
        <v>0.35272905122333836</v>
      </c>
      <c r="J107" s="65">
        <f t="shared" si="8"/>
        <v>1.4655490252590695</v>
      </c>
    </row>
    <row r="108" spans="6:10" ht="24" x14ac:dyDescent="0.3">
      <c r="F108" s="57">
        <v>1</v>
      </c>
      <c r="G108" s="57">
        <f t="shared" si="9"/>
        <v>0</v>
      </c>
      <c r="H108" s="64">
        <f t="shared" si="6"/>
        <v>0.54769981234392096</v>
      </c>
      <c r="I108" s="38">
        <f t="shared" si="7"/>
        <v>0.35533722116494987</v>
      </c>
      <c r="J108" s="65">
        <f t="shared" si="8"/>
        <v>1.4611467119649282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5D3C-E14D-9A44-9D22-02F97B99EA43}">
  <sheetPr>
    <tabColor rgb="FFFF26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0538C-AEE9-E843-BCFB-58A4776E47F1}">
  <sheetPr>
    <tabColor rgb="FF00B050"/>
  </sheetPr>
  <dimension ref="A1:F145"/>
  <sheetViews>
    <sheetView topLeftCell="A107" workbookViewId="0">
      <selection activeCell="F3" sqref="F3:F6"/>
    </sheetView>
  </sheetViews>
  <sheetFormatPr baseColWidth="10" defaultRowHeight="16" x14ac:dyDescent="0.2"/>
  <cols>
    <col min="1" max="1" width="17.6640625" bestFit="1" customWidth="1"/>
    <col min="2" max="2" width="12.1640625" bestFit="1" customWidth="1"/>
    <col min="6" max="6" width="9.1640625" bestFit="1" customWidth="1"/>
  </cols>
  <sheetData>
    <row r="1" spans="1:6" x14ac:dyDescent="0.2">
      <c r="A1" s="1" t="s">
        <v>0</v>
      </c>
      <c r="B1" s="1" t="s">
        <v>1</v>
      </c>
      <c r="D1" t="s">
        <v>20</v>
      </c>
    </row>
    <row r="2" spans="1:6" x14ac:dyDescent="0.2">
      <c r="A2" s="2">
        <v>45033</v>
      </c>
      <c r="B2">
        <v>15.77999973297119</v>
      </c>
    </row>
    <row r="3" spans="1:6" x14ac:dyDescent="0.2">
      <c r="A3" s="2">
        <v>45040</v>
      </c>
      <c r="B3">
        <v>15.909999847412109</v>
      </c>
      <c r="D3">
        <f>LN(B3/B2)</f>
        <v>8.2045342632543639E-3</v>
      </c>
    </row>
    <row r="4" spans="1:6" x14ac:dyDescent="0.2">
      <c r="A4" s="2">
        <v>45047</v>
      </c>
      <c r="B4">
        <v>16.04000091552734</v>
      </c>
      <c r="D4">
        <f>LN(B4/B3)</f>
        <v>8.1378267571265237E-3</v>
      </c>
      <c r="F4" s="37"/>
    </row>
    <row r="5" spans="1:6" x14ac:dyDescent="0.2">
      <c r="A5" s="2">
        <v>45054</v>
      </c>
      <c r="B5">
        <v>16.629999160766602</v>
      </c>
      <c r="D5">
        <f t="shared" ref="D5:D66" si="0">LN(B5/B4)</f>
        <v>3.6122583223676966E-2</v>
      </c>
    </row>
    <row r="6" spans="1:6" x14ac:dyDescent="0.2">
      <c r="A6" s="2">
        <v>45061</v>
      </c>
      <c r="B6">
        <v>16.489999771118161</v>
      </c>
      <c r="D6">
        <f t="shared" si="0"/>
        <v>-8.4541200483394426E-3</v>
      </c>
    </row>
    <row r="7" spans="1:6" x14ac:dyDescent="0.2">
      <c r="A7" s="2">
        <v>45068</v>
      </c>
      <c r="B7">
        <v>16.620000839233398</v>
      </c>
      <c r="D7">
        <f t="shared" si="0"/>
        <v>7.852717231223133E-3</v>
      </c>
    </row>
    <row r="8" spans="1:6" x14ac:dyDescent="0.2">
      <c r="A8" s="2">
        <v>45075</v>
      </c>
      <c r="B8">
        <v>17.219999313354489</v>
      </c>
      <c r="D8">
        <f t="shared" si="0"/>
        <v>3.5464619202007469E-2</v>
      </c>
    </row>
    <row r="9" spans="1:6" x14ac:dyDescent="0.2">
      <c r="A9" s="2">
        <v>45082</v>
      </c>
      <c r="B9">
        <v>17.718000411987301</v>
      </c>
      <c r="D9">
        <f t="shared" si="0"/>
        <v>2.8509636117613067E-2</v>
      </c>
    </row>
    <row r="10" spans="1:6" x14ac:dyDescent="0.2">
      <c r="A10" s="2">
        <v>45089</v>
      </c>
      <c r="B10">
        <v>18.190000534057621</v>
      </c>
      <c r="D10">
        <f t="shared" si="0"/>
        <v>2.6290926647675069E-2</v>
      </c>
    </row>
    <row r="11" spans="1:6" x14ac:dyDescent="0.2">
      <c r="A11" s="2">
        <v>45096</v>
      </c>
      <c r="B11">
        <v>17.819999694824219</v>
      </c>
      <c r="D11">
        <f>LN(B11/B10)</f>
        <v>-2.0550616972789208E-2</v>
      </c>
    </row>
    <row r="12" spans="1:6" x14ac:dyDescent="0.2">
      <c r="A12" s="2">
        <v>45103</v>
      </c>
      <c r="B12">
        <v>17.58799934387207</v>
      </c>
      <c r="D12">
        <f t="shared" si="0"/>
        <v>-1.3104590904066876E-2</v>
      </c>
    </row>
    <row r="13" spans="1:6" x14ac:dyDescent="0.2">
      <c r="A13" s="2">
        <v>45110</v>
      </c>
      <c r="B13">
        <v>17.398000717163089</v>
      </c>
      <c r="D13">
        <f t="shared" si="0"/>
        <v>-1.0861515706775772E-2</v>
      </c>
    </row>
    <row r="14" spans="1:6" x14ac:dyDescent="0.2">
      <c r="A14" s="2">
        <v>45117</v>
      </c>
      <c r="B14">
        <v>17.360000610351559</v>
      </c>
      <c r="D14">
        <f t="shared" si="0"/>
        <v>-2.1865539156523143E-3</v>
      </c>
    </row>
    <row r="15" spans="1:6" x14ac:dyDescent="0.2">
      <c r="A15" s="2">
        <v>45124</v>
      </c>
      <c r="B15">
        <v>17.381999969482418</v>
      </c>
      <c r="D15">
        <f t="shared" si="0"/>
        <v>1.2664418688646646E-3</v>
      </c>
    </row>
    <row r="16" spans="1:6" x14ac:dyDescent="0.2">
      <c r="A16" s="2">
        <v>45131</v>
      </c>
      <c r="B16">
        <v>17.507999420166019</v>
      </c>
      <c r="D16">
        <f t="shared" si="0"/>
        <v>7.2226999508495952E-3</v>
      </c>
    </row>
    <row r="17" spans="1:4" x14ac:dyDescent="0.2">
      <c r="A17" s="2">
        <v>45138</v>
      </c>
      <c r="B17">
        <v>18.20000076293945</v>
      </c>
      <c r="D17">
        <f t="shared" si="0"/>
        <v>3.876374979208088E-2</v>
      </c>
    </row>
    <row r="18" spans="1:4" x14ac:dyDescent="0.2">
      <c r="A18" s="2">
        <v>45145</v>
      </c>
      <c r="B18">
        <v>18.60000038146973</v>
      </c>
      <c r="D18">
        <f t="shared" si="0"/>
        <v>2.1739965225781886E-2</v>
      </c>
    </row>
    <row r="19" spans="1:4" x14ac:dyDescent="0.2">
      <c r="A19" s="2">
        <v>45152</v>
      </c>
      <c r="B19">
        <v>18.229999542236332</v>
      </c>
      <c r="D19">
        <f t="shared" si="0"/>
        <v>-2.0093037648168298E-2</v>
      </c>
    </row>
    <row r="20" spans="1:4" x14ac:dyDescent="0.2">
      <c r="A20" s="2">
        <v>45159</v>
      </c>
      <c r="B20">
        <v>19.20000076293945</v>
      </c>
      <c r="D20">
        <f t="shared" si="0"/>
        <v>5.1841755190052456E-2</v>
      </c>
    </row>
    <row r="21" spans="1:4" x14ac:dyDescent="0.2">
      <c r="A21" s="2">
        <v>45166</v>
      </c>
      <c r="B21">
        <v>19.568000793457031</v>
      </c>
      <c r="D21">
        <f t="shared" si="0"/>
        <v>1.8985300723354446E-2</v>
      </c>
    </row>
    <row r="22" spans="1:4" x14ac:dyDescent="0.2">
      <c r="A22" s="2">
        <v>45173</v>
      </c>
      <c r="B22">
        <v>19.815999984741211</v>
      </c>
      <c r="D22">
        <f t="shared" si="0"/>
        <v>1.2594071923515538E-2</v>
      </c>
    </row>
    <row r="23" spans="1:4" x14ac:dyDescent="0.2">
      <c r="A23" s="2">
        <v>45180</v>
      </c>
      <c r="B23">
        <v>21.20999908447266</v>
      </c>
      <c r="D23">
        <f t="shared" si="0"/>
        <v>6.7983033994664377E-2</v>
      </c>
    </row>
    <row r="24" spans="1:4" x14ac:dyDescent="0.2">
      <c r="A24" s="2">
        <v>45187</v>
      </c>
      <c r="B24">
        <v>21.059999465942379</v>
      </c>
      <c r="D24">
        <f t="shared" si="0"/>
        <v>-7.0972440647313262E-3</v>
      </c>
    </row>
    <row r="25" spans="1:4" x14ac:dyDescent="0.2">
      <c r="A25" s="2">
        <v>45194</v>
      </c>
      <c r="B25">
        <v>21.684999465942379</v>
      </c>
      <c r="D25">
        <f t="shared" si="0"/>
        <v>2.9245271312387217E-2</v>
      </c>
    </row>
    <row r="26" spans="1:4" x14ac:dyDescent="0.2">
      <c r="A26" s="2">
        <v>45201</v>
      </c>
      <c r="B26">
        <v>20.254999160766602</v>
      </c>
      <c r="D26">
        <f t="shared" si="0"/>
        <v>-6.8219117438096194E-2</v>
      </c>
    </row>
    <row r="27" spans="1:4" x14ac:dyDescent="0.2">
      <c r="A27" s="2">
        <v>45208</v>
      </c>
      <c r="B27">
        <v>20.184999465942379</v>
      </c>
      <c r="D27">
        <f t="shared" si="0"/>
        <v>-3.4619073744983349E-3</v>
      </c>
    </row>
    <row r="28" spans="1:4" x14ac:dyDescent="0.2">
      <c r="A28" s="2">
        <v>45215</v>
      </c>
      <c r="B28">
        <v>19.922000885009769</v>
      </c>
      <c r="D28">
        <f t="shared" si="0"/>
        <v>-1.3115034700046531E-2</v>
      </c>
    </row>
    <row r="29" spans="1:4" x14ac:dyDescent="0.2">
      <c r="A29" s="2">
        <v>45222</v>
      </c>
      <c r="B29">
        <v>20.135000228881839</v>
      </c>
      <c r="D29">
        <f t="shared" si="0"/>
        <v>1.0634912524065711E-2</v>
      </c>
    </row>
    <row r="30" spans="1:4" x14ac:dyDescent="0.2">
      <c r="A30" s="2">
        <v>45229</v>
      </c>
      <c r="B30">
        <v>21.385000228881839</v>
      </c>
      <c r="D30">
        <f t="shared" si="0"/>
        <v>6.0230146711007196E-2</v>
      </c>
    </row>
    <row r="31" spans="1:4" x14ac:dyDescent="0.2">
      <c r="A31" s="2">
        <v>45236</v>
      </c>
      <c r="B31">
        <v>20.72500038146973</v>
      </c>
      <c r="D31">
        <f t="shared" si="0"/>
        <v>-3.1349032954168951E-2</v>
      </c>
    </row>
    <row r="32" spans="1:4" x14ac:dyDescent="0.2">
      <c r="A32" s="2">
        <v>45243</v>
      </c>
      <c r="B32">
        <v>21.180000305175781</v>
      </c>
      <c r="D32">
        <f t="shared" si="0"/>
        <v>2.1716635154319239E-2</v>
      </c>
    </row>
    <row r="33" spans="1:4" x14ac:dyDescent="0.2">
      <c r="A33" s="2">
        <v>45250</v>
      </c>
      <c r="B33">
        <v>21.495000839233398</v>
      </c>
      <c r="D33">
        <f t="shared" si="0"/>
        <v>1.4763034409498142E-2</v>
      </c>
    </row>
    <row r="34" spans="1:4" x14ac:dyDescent="0.2">
      <c r="A34" s="2">
        <v>45257</v>
      </c>
      <c r="B34">
        <v>21.120000839233398</v>
      </c>
      <c r="D34">
        <f t="shared" si="0"/>
        <v>-1.7599890416945634E-2</v>
      </c>
    </row>
    <row r="35" spans="1:4" x14ac:dyDescent="0.2">
      <c r="A35" s="2">
        <v>45264</v>
      </c>
      <c r="B35">
        <v>21.22500038146973</v>
      </c>
      <c r="D35">
        <f t="shared" si="0"/>
        <v>4.9592515955820642E-3</v>
      </c>
    </row>
    <row r="36" spans="1:4" x14ac:dyDescent="0.2">
      <c r="A36" s="2">
        <v>45271</v>
      </c>
      <c r="B36">
        <v>21.184999465942379</v>
      </c>
      <c r="D36">
        <f t="shared" si="0"/>
        <v>-1.886391300783614E-3</v>
      </c>
    </row>
    <row r="37" spans="1:4" x14ac:dyDescent="0.2">
      <c r="A37" s="2">
        <v>45278</v>
      </c>
      <c r="B37">
        <v>21.145000457763668</v>
      </c>
      <c r="D37">
        <f t="shared" si="0"/>
        <v>-1.8898662960465009E-3</v>
      </c>
    </row>
    <row r="38" spans="1:4" x14ac:dyDescent="0.2">
      <c r="A38" s="2">
        <v>45285</v>
      </c>
      <c r="B38">
        <v>20.82500076293945</v>
      </c>
      <c r="D38">
        <f t="shared" si="0"/>
        <v>-1.5249267884588278E-2</v>
      </c>
    </row>
    <row r="39" spans="1:4" x14ac:dyDescent="0.2">
      <c r="A39" s="2">
        <v>45292</v>
      </c>
      <c r="B39">
        <v>20.79000091552734</v>
      </c>
      <c r="D39">
        <f t="shared" si="0"/>
        <v>-1.6820787818239602E-3</v>
      </c>
    </row>
    <row r="40" spans="1:4" x14ac:dyDescent="0.2">
      <c r="A40" s="2">
        <v>45299</v>
      </c>
      <c r="B40">
        <v>22.739999771118161</v>
      </c>
      <c r="D40">
        <f t="shared" si="0"/>
        <v>8.9653332350395701E-2</v>
      </c>
    </row>
    <row r="41" spans="1:4" x14ac:dyDescent="0.2">
      <c r="A41" s="2">
        <v>45306</v>
      </c>
      <c r="B41">
        <v>23.10000038146973</v>
      </c>
      <c r="D41">
        <f t="shared" si="0"/>
        <v>1.570715578436345E-2</v>
      </c>
    </row>
    <row r="42" spans="1:4" x14ac:dyDescent="0.2">
      <c r="A42" s="2">
        <v>45313</v>
      </c>
      <c r="B42">
        <v>22.75</v>
      </c>
      <c r="D42">
        <f t="shared" si="0"/>
        <v>-1.5267488644629375E-2</v>
      </c>
    </row>
    <row r="43" spans="1:4" x14ac:dyDescent="0.2">
      <c r="A43" s="2">
        <v>45320</v>
      </c>
      <c r="B43">
        <v>24.52499961853027</v>
      </c>
      <c r="D43">
        <f t="shared" si="0"/>
        <v>7.5127844500145924E-2</v>
      </c>
    </row>
    <row r="44" spans="1:4" x14ac:dyDescent="0.2">
      <c r="A44" s="2">
        <v>45327</v>
      </c>
      <c r="B44">
        <v>23.934999465942379</v>
      </c>
      <c r="D44">
        <f t="shared" si="0"/>
        <v>-2.4351189365464737E-2</v>
      </c>
    </row>
    <row r="45" spans="1:4" x14ac:dyDescent="0.2">
      <c r="A45" s="2">
        <v>45334</v>
      </c>
      <c r="B45">
        <v>24.030000686645511</v>
      </c>
      <c r="D45">
        <f t="shared" si="0"/>
        <v>3.9612777912480419E-3</v>
      </c>
    </row>
    <row r="46" spans="1:4" x14ac:dyDescent="0.2">
      <c r="A46" s="2">
        <v>45341</v>
      </c>
      <c r="B46">
        <v>23.10000038146973</v>
      </c>
      <c r="D46">
        <f t="shared" si="0"/>
        <v>-3.9470444281299755E-2</v>
      </c>
    </row>
    <row r="47" spans="1:4" x14ac:dyDescent="0.2">
      <c r="A47" s="2">
        <v>45348</v>
      </c>
      <c r="B47">
        <v>24.385000228881839</v>
      </c>
      <c r="D47">
        <f t="shared" si="0"/>
        <v>5.4135564506600391E-2</v>
      </c>
    </row>
    <row r="48" spans="1:4" x14ac:dyDescent="0.2">
      <c r="A48" s="2">
        <v>45355</v>
      </c>
      <c r="B48">
        <v>24.95999908447266</v>
      </c>
      <c r="D48">
        <f t="shared" si="0"/>
        <v>2.3306308273255635E-2</v>
      </c>
    </row>
    <row r="49" spans="1:4" x14ac:dyDescent="0.2">
      <c r="A49" s="2">
        <v>45362</v>
      </c>
      <c r="B49">
        <v>24.14999961853027</v>
      </c>
      <c r="D49">
        <f t="shared" si="0"/>
        <v>-3.2990142518711407E-2</v>
      </c>
    </row>
    <row r="50" spans="1:4" x14ac:dyDescent="0.2">
      <c r="A50" s="2">
        <v>45369</v>
      </c>
      <c r="B50">
        <v>25.82500076293945</v>
      </c>
      <c r="D50">
        <f t="shared" si="0"/>
        <v>6.7058680245638144E-2</v>
      </c>
    </row>
    <row r="51" spans="1:4" x14ac:dyDescent="0.2">
      <c r="A51" s="2">
        <v>45376</v>
      </c>
      <c r="B51">
        <v>26.254999160766602</v>
      </c>
      <c r="D51">
        <f t="shared" si="0"/>
        <v>1.651337057674283E-2</v>
      </c>
    </row>
    <row r="52" spans="1:4" x14ac:dyDescent="0.2">
      <c r="A52" s="2">
        <v>45383</v>
      </c>
      <c r="B52">
        <v>26.985000610351559</v>
      </c>
      <c r="D52">
        <f t="shared" si="0"/>
        <v>2.74247635636704E-2</v>
      </c>
    </row>
    <row r="53" spans="1:4" x14ac:dyDescent="0.2">
      <c r="A53" s="2">
        <v>45390</v>
      </c>
      <c r="B53">
        <v>27.309999465942379</v>
      </c>
      <c r="D53">
        <f t="shared" si="0"/>
        <v>1.1971737241441641E-2</v>
      </c>
    </row>
    <row r="54" spans="1:4" x14ac:dyDescent="0.2">
      <c r="A54" s="2">
        <v>45397</v>
      </c>
      <c r="B54">
        <v>25.930000305175781</v>
      </c>
      <c r="D54">
        <f t="shared" si="0"/>
        <v>-5.1852304610437092E-2</v>
      </c>
    </row>
    <row r="55" spans="1:4" x14ac:dyDescent="0.2">
      <c r="A55" s="2">
        <v>45404</v>
      </c>
      <c r="B55">
        <v>25.844999313354489</v>
      </c>
      <c r="D55">
        <f t="shared" si="0"/>
        <v>-3.2834792396149912E-3</v>
      </c>
    </row>
    <row r="56" spans="1:4" x14ac:dyDescent="0.2">
      <c r="A56" s="2">
        <v>45411</v>
      </c>
      <c r="B56">
        <v>26.534999847412109</v>
      </c>
      <c r="D56">
        <f t="shared" si="0"/>
        <v>2.6347478449245097E-2</v>
      </c>
    </row>
    <row r="57" spans="1:4" x14ac:dyDescent="0.2">
      <c r="A57" s="2">
        <v>45418</v>
      </c>
      <c r="B57">
        <v>27.055000305175781</v>
      </c>
      <c r="D57">
        <f t="shared" si="0"/>
        <v>1.9407231845108234E-2</v>
      </c>
    </row>
    <row r="58" spans="1:4" x14ac:dyDescent="0.2">
      <c r="A58" s="2">
        <v>45425</v>
      </c>
      <c r="B58">
        <v>27.60000038146973</v>
      </c>
      <c r="D58">
        <f t="shared" si="0"/>
        <v>1.9943944169943533E-2</v>
      </c>
    </row>
    <row r="59" spans="1:4" x14ac:dyDescent="0.2">
      <c r="A59" s="2">
        <v>45432</v>
      </c>
      <c r="B59">
        <v>26.72500038146973</v>
      </c>
      <c r="D59">
        <f t="shared" si="0"/>
        <v>-3.221631535947167E-2</v>
      </c>
    </row>
    <row r="60" spans="1:4" x14ac:dyDescent="0.2">
      <c r="A60" s="2">
        <v>45439</v>
      </c>
      <c r="B60">
        <v>27.08499908447266</v>
      </c>
      <c r="D60">
        <f t="shared" si="0"/>
        <v>1.3380564122855803E-2</v>
      </c>
    </row>
    <row r="61" spans="1:4" x14ac:dyDescent="0.2">
      <c r="A61" s="2">
        <v>45446</v>
      </c>
      <c r="B61">
        <v>25.625</v>
      </c>
      <c r="D61">
        <f t="shared" si="0"/>
        <v>-5.5411597849283144E-2</v>
      </c>
    </row>
    <row r="62" spans="1:4" x14ac:dyDescent="0.2">
      <c r="A62" s="2">
        <v>45453</v>
      </c>
      <c r="B62">
        <v>25.659999847412109</v>
      </c>
      <c r="D62">
        <f t="shared" si="0"/>
        <v>1.3649157823907485E-3</v>
      </c>
    </row>
    <row r="63" spans="1:4" x14ac:dyDescent="0.2">
      <c r="A63" s="2">
        <v>45460</v>
      </c>
      <c r="B63">
        <v>25.639999389648441</v>
      </c>
      <c r="D63">
        <f t="shared" si="0"/>
        <v>-7.7974499315702165E-4</v>
      </c>
    </row>
    <row r="64" spans="1:4" x14ac:dyDescent="0.2">
      <c r="A64" s="2">
        <v>45467</v>
      </c>
      <c r="B64">
        <v>26.309999465942379</v>
      </c>
      <c r="D64">
        <f t="shared" si="0"/>
        <v>2.5795466505739818E-2</v>
      </c>
    </row>
    <row r="65" spans="1:4" x14ac:dyDescent="0.2">
      <c r="A65" s="2">
        <v>45474</v>
      </c>
      <c r="B65">
        <v>26.579999923706051</v>
      </c>
      <c r="D65">
        <f t="shared" si="0"/>
        <v>1.0209975661201779E-2</v>
      </c>
    </row>
    <row r="66" spans="1:4" x14ac:dyDescent="0.2">
      <c r="A66" s="2">
        <v>45481</v>
      </c>
      <c r="B66">
        <v>27.32500076293945</v>
      </c>
      <c r="D66">
        <f t="shared" si="0"/>
        <v>2.764301156878575E-2</v>
      </c>
    </row>
    <row r="67" spans="1:4" x14ac:dyDescent="0.2">
      <c r="A67" s="2">
        <v>45488</v>
      </c>
      <c r="B67">
        <v>25.604999542236332</v>
      </c>
      <c r="D67">
        <f t="shared" ref="D67:D130" si="1">LN(B67/B66)</f>
        <v>-6.5014434946921273E-2</v>
      </c>
    </row>
    <row r="68" spans="1:4" x14ac:dyDescent="0.2">
      <c r="A68" s="2">
        <v>45495</v>
      </c>
      <c r="B68">
        <v>24.754999160766602</v>
      </c>
      <c r="D68">
        <f t="shared" si="1"/>
        <v>-3.3760172124797469E-2</v>
      </c>
    </row>
    <row r="69" spans="1:4" x14ac:dyDescent="0.2">
      <c r="A69" s="2">
        <v>45502</v>
      </c>
      <c r="B69">
        <v>21.780000686645511</v>
      </c>
      <c r="D69">
        <f t="shared" si="1"/>
        <v>-0.12803530588057674</v>
      </c>
    </row>
    <row r="70" spans="1:4" x14ac:dyDescent="0.2">
      <c r="A70" s="2">
        <v>45509</v>
      </c>
      <c r="B70">
        <v>22.645000457763668</v>
      </c>
      <c r="D70">
        <f t="shared" si="1"/>
        <v>3.8946948191718053E-2</v>
      </c>
    </row>
    <row r="71" spans="1:4" x14ac:dyDescent="0.2">
      <c r="A71" s="2">
        <v>45516</v>
      </c>
      <c r="B71">
        <v>23.64999961853027</v>
      </c>
      <c r="D71">
        <f t="shared" si="1"/>
        <v>4.3424001585187631E-2</v>
      </c>
    </row>
    <row r="72" spans="1:4" x14ac:dyDescent="0.2">
      <c r="A72" s="2">
        <v>45523</v>
      </c>
      <c r="B72">
        <v>24.260000228881839</v>
      </c>
      <c r="D72">
        <f t="shared" si="1"/>
        <v>2.5465814142296352E-2</v>
      </c>
    </row>
    <row r="73" spans="1:4" x14ac:dyDescent="0.2">
      <c r="A73" s="2">
        <v>45530</v>
      </c>
      <c r="B73">
        <v>24.059999465942379</v>
      </c>
      <c r="D73">
        <f t="shared" si="1"/>
        <v>-8.278224600815863E-3</v>
      </c>
    </row>
    <row r="74" spans="1:4" x14ac:dyDescent="0.2">
      <c r="A74" s="2">
        <v>45537</v>
      </c>
      <c r="B74">
        <v>22.20000076293945</v>
      </c>
      <c r="D74">
        <f t="shared" si="1"/>
        <v>-8.0458365104748991E-2</v>
      </c>
    </row>
    <row r="75" spans="1:4" x14ac:dyDescent="0.2">
      <c r="A75" s="2">
        <v>45544</v>
      </c>
      <c r="B75">
        <v>23.409999847412109</v>
      </c>
      <c r="D75">
        <f t="shared" si="1"/>
        <v>5.3070951739879857E-2</v>
      </c>
    </row>
    <row r="76" spans="1:4" x14ac:dyDescent="0.2">
      <c r="A76" s="2">
        <v>45551</v>
      </c>
      <c r="B76">
        <v>24</v>
      </c>
      <c r="D76">
        <f t="shared" si="1"/>
        <v>2.4890555363190684E-2</v>
      </c>
    </row>
    <row r="77" spans="1:4" x14ac:dyDescent="0.2">
      <c r="A77" s="2">
        <v>45558</v>
      </c>
      <c r="B77">
        <v>26.739999771118161</v>
      </c>
      <c r="D77">
        <f t="shared" si="1"/>
        <v>0.10810673276632118</v>
      </c>
    </row>
    <row r="78" spans="1:4" x14ac:dyDescent="0.2">
      <c r="A78" s="2">
        <v>45565</v>
      </c>
      <c r="B78">
        <v>28.02499961853027</v>
      </c>
      <c r="D78">
        <f t="shared" si="1"/>
        <v>4.6936392232191197E-2</v>
      </c>
    </row>
    <row r="79" spans="1:4" x14ac:dyDescent="0.2">
      <c r="A79" s="2">
        <v>45572</v>
      </c>
      <c r="B79">
        <v>27.719999313354489</v>
      </c>
      <c r="D79">
        <f t="shared" si="1"/>
        <v>-1.0942805795517315E-2</v>
      </c>
    </row>
    <row r="80" spans="1:4" x14ac:dyDescent="0.2">
      <c r="A80" s="2">
        <v>45579</v>
      </c>
      <c r="B80">
        <v>31.690000534057621</v>
      </c>
      <c r="D80">
        <f t="shared" si="1"/>
        <v>0.13384704100444839</v>
      </c>
    </row>
    <row r="81" spans="1:4" x14ac:dyDescent="0.2">
      <c r="A81" s="2">
        <v>45586</v>
      </c>
      <c r="B81">
        <v>30.5</v>
      </c>
      <c r="D81">
        <f t="shared" si="1"/>
        <v>-3.8274506942023077E-2</v>
      </c>
    </row>
    <row r="82" spans="1:4" x14ac:dyDescent="0.2">
      <c r="A82" s="2">
        <v>45593</v>
      </c>
      <c r="B82">
        <v>30.39999961853027</v>
      </c>
      <c r="D82">
        <f t="shared" si="1"/>
        <v>-3.2840877495363551E-3</v>
      </c>
    </row>
    <row r="83" spans="1:4" x14ac:dyDescent="0.2">
      <c r="A83" s="2">
        <v>45600</v>
      </c>
      <c r="B83">
        <v>31.055000305175781</v>
      </c>
      <c r="D83">
        <f t="shared" si="1"/>
        <v>2.1317239974381903E-2</v>
      </c>
    </row>
    <row r="84" spans="1:4" x14ac:dyDescent="0.2">
      <c r="A84" s="2">
        <v>45607</v>
      </c>
      <c r="B84">
        <v>31.219999313354489</v>
      </c>
      <c r="D84">
        <f t="shared" si="1"/>
        <v>5.2990572553040828E-3</v>
      </c>
    </row>
    <row r="85" spans="1:4" x14ac:dyDescent="0.2">
      <c r="A85" s="2">
        <v>45614</v>
      </c>
      <c r="B85">
        <v>33.055000305175781</v>
      </c>
      <c r="D85">
        <f t="shared" si="1"/>
        <v>5.7113956924389669E-2</v>
      </c>
    </row>
    <row r="86" spans="1:4" x14ac:dyDescent="0.2">
      <c r="A86" s="2">
        <v>45621</v>
      </c>
      <c r="B86">
        <v>32.75</v>
      </c>
      <c r="D86">
        <f t="shared" si="1"/>
        <v>-9.2698879366441243E-3</v>
      </c>
    </row>
    <row r="87" spans="1:4" x14ac:dyDescent="0.2">
      <c r="A87" s="2">
        <v>45628</v>
      </c>
      <c r="B87">
        <v>31.85000038146973</v>
      </c>
      <c r="D87">
        <f t="shared" si="1"/>
        <v>-2.7865568086017038E-2</v>
      </c>
    </row>
    <row r="88" spans="1:4" x14ac:dyDescent="0.2">
      <c r="A88" s="2">
        <v>45635</v>
      </c>
      <c r="B88">
        <v>30.809999465942379</v>
      </c>
      <c r="D88">
        <f t="shared" si="1"/>
        <v>-3.319809872057275E-2</v>
      </c>
    </row>
    <row r="89" spans="1:4" x14ac:dyDescent="0.2">
      <c r="A89" s="2">
        <v>45642</v>
      </c>
      <c r="B89">
        <v>29.235000610351559</v>
      </c>
      <c r="D89">
        <f t="shared" si="1"/>
        <v>-5.2472652769611168E-2</v>
      </c>
    </row>
    <row r="90" spans="1:4" x14ac:dyDescent="0.2">
      <c r="A90" s="2">
        <v>45649</v>
      </c>
      <c r="B90">
        <v>28.979999542236332</v>
      </c>
      <c r="D90">
        <f t="shared" si="1"/>
        <v>-8.7607214083715631E-3</v>
      </c>
    </row>
    <row r="91" spans="1:4" x14ac:dyDescent="0.2">
      <c r="A91" s="2">
        <v>45656</v>
      </c>
      <c r="B91">
        <v>30.069999694824219</v>
      </c>
      <c r="D91">
        <f t="shared" si="1"/>
        <v>3.6922065754903824E-2</v>
      </c>
    </row>
    <row r="92" spans="1:4" x14ac:dyDescent="0.2">
      <c r="A92" s="2">
        <v>45663</v>
      </c>
      <c r="B92">
        <v>29.420000076293949</v>
      </c>
      <c r="D92">
        <f t="shared" si="1"/>
        <v>-2.1853269085032618E-2</v>
      </c>
    </row>
    <row r="93" spans="1:4" x14ac:dyDescent="0.2">
      <c r="A93" s="2">
        <v>45670</v>
      </c>
      <c r="B93">
        <v>30.245000839233398</v>
      </c>
      <c r="D93">
        <f t="shared" si="1"/>
        <v>2.7656191540156923E-2</v>
      </c>
    </row>
    <row r="94" spans="1:4" x14ac:dyDescent="0.2">
      <c r="A94" s="2">
        <v>45677</v>
      </c>
      <c r="B94">
        <v>32.354999542236328</v>
      </c>
      <c r="D94">
        <f t="shared" si="1"/>
        <v>6.7437645054354317E-2</v>
      </c>
    </row>
    <row r="95" spans="1:4" x14ac:dyDescent="0.2">
      <c r="A95" s="2">
        <v>45684</v>
      </c>
      <c r="B95">
        <v>30.979999542236332</v>
      </c>
      <c r="D95">
        <f t="shared" si="1"/>
        <v>-4.3426734148451142E-2</v>
      </c>
    </row>
    <row r="96" spans="1:4" x14ac:dyDescent="0.2">
      <c r="A96" s="2">
        <v>45691</v>
      </c>
      <c r="B96">
        <v>31.264999389648441</v>
      </c>
      <c r="D96">
        <f t="shared" si="1"/>
        <v>9.1574212847622041E-3</v>
      </c>
    </row>
    <row r="97" spans="1:4" x14ac:dyDescent="0.2">
      <c r="A97" s="2">
        <v>45698</v>
      </c>
      <c r="B97">
        <v>29.690000534057621</v>
      </c>
      <c r="D97">
        <f t="shared" si="1"/>
        <v>-5.1688934733918848E-2</v>
      </c>
    </row>
    <row r="98" spans="1:4" x14ac:dyDescent="0.2">
      <c r="A98" s="2">
        <v>45705</v>
      </c>
      <c r="B98">
        <v>28.5</v>
      </c>
      <c r="D98">
        <f t="shared" si="1"/>
        <v>-4.0906219488857976E-2</v>
      </c>
    </row>
    <row r="99" spans="1:4" x14ac:dyDescent="0.2">
      <c r="A99" s="2">
        <v>45712</v>
      </c>
      <c r="B99">
        <v>26.82500076293945</v>
      </c>
      <c r="D99">
        <f t="shared" si="1"/>
        <v>-6.056977031648423E-2</v>
      </c>
    </row>
    <row r="100" spans="1:4" x14ac:dyDescent="0.2">
      <c r="A100" s="2">
        <v>45719</v>
      </c>
      <c r="B100">
        <v>25.555000305175781</v>
      </c>
      <c r="D100">
        <f t="shared" si="1"/>
        <v>-4.8501312795957097E-2</v>
      </c>
    </row>
    <row r="101" spans="1:4" x14ac:dyDescent="0.2">
      <c r="A101" s="2">
        <v>45726</v>
      </c>
      <c r="B101">
        <v>25.91500091552734</v>
      </c>
      <c r="D101">
        <f t="shared" si="1"/>
        <v>1.3988982807591486E-2</v>
      </c>
    </row>
    <row r="102" spans="1:4" x14ac:dyDescent="0.2">
      <c r="A102" s="2">
        <v>45733</v>
      </c>
      <c r="B102">
        <v>26.54000091552734</v>
      </c>
      <c r="D102">
        <f t="shared" si="1"/>
        <v>2.3831076430437893E-2</v>
      </c>
    </row>
    <row r="103" spans="1:4" x14ac:dyDescent="0.2">
      <c r="A103" s="2">
        <v>45740</v>
      </c>
      <c r="B103">
        <v>24.954999923706051</v>
      </c>
      <c r="D103">
        <f t="shared" si="1"/>
        <v>-6.1578863535881247E-2</v>
      </c>
    </row>
    <row r="104" spans="1:4" x14ac:dyDescent="0.2">
      <c r="A104" s="2">
        <v>45747</v>
      </c>
      <c r="B104">
        <v>21.055000305175781</v>
      </c>
      <c r="D104">
        <f t="shared" si="1"/>
        <v>-0.16993612375620151</v>
      </c>
    </row>
    <row r="105" spans="1:4" x14ac:dyDescent="0.2">
      <c r="A105" s="2">
        <v>45754</v>
      </c>
      <c r="B105">
        <v>22.090000152587891</v>
      </c>
      <c r="D105">
        <f t="shared" si="1"/>
        <v>4.7986948231470893E-2</v>
      </c>
    </row>
    <row r="106" spans="1:4" x14ac:dyDescent="0.2">
      <c r="A106" s="2">
        <v>45761</v>
      </c>
      <c r="B106">
        <v>22.614999771118161</v>
      </c>
      <c r="D106">
        <f t="shared" si="1"/>
        <v>2.3488368469427885E-2</v>
      </c>
    </row>
    <row r="107" spans="1:4" x14ac:dyDescent="0.2">
      <c r="A107" s="2">
        <v>45768</v>
      </c>
      <c r="B107">
        <v>24.620000839233398</v>
      </c>
      <c r="D107">
        <f t="shared" si="1"/>
        <v>8.4945762034763631E-2</v>
      </c>
    </row>
    <row r="108" spans="1:4" x14ac:dyDescent="0.2">
      <c r="A108" s="2">
        <v>45775</v>
      </c>
      <c r="B108">
        <v>25.864999771118161</v>
      </c>
      <c r="D108">
        <f t="shared" si="1"/>
        <v>4.9331539762611204E-2</v>
      </c>
    </row>
    <row r="109" spans="1:4" x14ac:dyDescent="0.2">
      <c r="A109" s="2">
        <v>45782</v>
      </c>
      <c r="B109">
        <v>26.70000076293945</v>
      </c>
      <c r="D109">
        <f t="shared" si="1"/>
        <v>3.1772899374331205E-2</v>
      </c>
    </row>
    <row r="110" spans="1:4" x14ac:dyDescent="0.2">
      <c r="A110" s="2">
        <v>45789</v>
      </c>
      <c r="B110">
        <v>28.454999923706051</v>
      </c>
      <c r="D110">
        <f t="shared" si="1"/>
        <v>6.3660295393158498E-2</v>
      </c>
    </row>
    <row r="111" spans="1:4" x14ac:dyDescent="0.2">
      <c r="A111" s="2">
        <v>45796</v>
      </c>
      <c r="B111">
        <v>31.485000610351559</v>
      </c>
      <c r="D111">
        <f t="shared" si="1"/>
        <v>0.10118737195230383</v>
      </c>
    </row>
    <row r="112" spans="1:4" x14ac:dyDescent="0.2">
      <c r="A112" s="2">
        <v>45803</v>
      </c>
      <c r="B112">
        <v>32.049999237060547</v>
      </c>
      <c r="D112">
        <f t="shared" si="1"/>
        <v>1.7785898235838607E-2</v>
      </c>
    </row>
    <row r="113" spans="1:4" x14ac:dyDescent="0.2">
      <c r="A113" s="2">
        <v>45810</v>
      </c>
      <c r="B113">
        <v>32.700000762939453</v>
      </c>
      <c r="D113">
        <f t="shared" si="1"/>
        <v>2.0077941672673454E-2</v>
      </c>
    </row>
    <row r="114" spans="1:4" x14ac:dyDescent="0.2">
      <c r="A114" s="2">
        <v>45817</v>
      </c>
      <c r="B114">
        <v>34.959999084472663</v>
      </c>
      <c r="D114">
        <f t="shared" si="1"/>
        <v>6.6829423364792279E-2</v>
      </c>
    </row>
    <row r="115" spans="1:4" x14ac:dyDescent="0.2">
      <c r="A115" s="2">
        <v>45824</v>
      </c>
      <c r="B115">
        <v>36.5</v>
      </c>
      <c r="D115">
        <f t="shared" si="1"/>
        <v>4.3107735988964384E-2</v>
      </c>
    </row>
    <row r="116" spans="1:4" x14ac:dyDescent="0.2">
      <c r="A116" s="2">
        <v>45831</v>
      </c>
      <c r="B116">
        <v>36.354999542236328</v>
      </c>
      <c r="D116">
        <f t="shared" si="1"/>
        <v>-3.9805270779172362E-3</v>
      </c>
    </row>
    <row r="117" spans="1:4" x14ac:dyDescent="0.2">
      <c r="A117" s="2">
        <v>45838</v>
      </c>
      <c r="B117">
        <v>34.700000762939453</v>
      </c>
      <c r="D117">
        <f t="shared" si="1"/>
        <v>-4.6592024570987642E-2</v>
      </c>
    </row>
    <row r="118" spans="1:4" x14ac:dyDescent="0.2">
      <c r="A118" s="2">
        <v>45845</v>
      </c>
      <c r="B118">
        <v>34.854999542236328</v>
      </c>
      <c r="D118">
        <f t="shared" si="1"/>
        <v>4.4568768654492325E-3</v>
      </c>
    </row>
    <row r="119" spans="1:4" x14ac:dyDescent="0.2">
      <c r="A119" s="2">
        <v>45852</v>
      </c>
      <c r="B119">
        <v>38.590000152587891</v>
      </c>
      <c r="D119">
        <f t="shared" si="1"/>
        <v>0.10179659369861571</v>
      </c>
    </row>
    <row r="120" spans="1:4" x14ac:dyDescent="0.2">
      <c r="A120" s="2">
        <v>45859</v>
      </c>
      <c r="B120">
        <v>39.419998168945312</v>
      </c>
      <c r="D120">
        <f t="shared" si="1"/>
        <v>2.1280075771076608E-2</v>
      </c>
    </row>
    <row r="121" spans="1:4" x14ac:dyDescent="0.2">
      <c r="A121" s="2">
        <v>45866</v>
      </c>
      <c r="B121">
        <v>39.400001525878913</v>
      </c>
      <c r="D121">
        <f t="shared" si="1"/>
        <v>-5.0740024290389532E-4</v>
      </c>
    </row>
    <row r="122" spans="1:4" x14ac:dyDescent="0.2">
      <c r="A122" s="2">
        <v>45873</v>
      </c>
      <c r="B122">
        <v>40.400001525878913</v>
      </c>
      <c r="D122">
        <f t="shared" si="1"/>
        <v>2.5063967704605165E-2</v>
      </c>
    </row>
    <row r="123" spans="1:4" x14ac:dyDescent="0.2">
      <c r="A123" s="2">
        <v>45880</v>
      </c>
      <c r="B123">
        <v>38.799999237060547</v>
      </c>
      <c r="D123">
        <f t="shared" si="1"/>
        <v>-4.0409595770544086E-2</v>
      </c>
    </row>
    <row r="124" spans="1:4" x14ac:dyDescent="0.2">
      <c r="A124" s="2">
        <v>45887</v>
      </c>
      <c r="B124">
        <v>38.715000152587891</v>
      </c>
      <c r="D124">
        <f t="shared" si="1"/>
        <v>-2.1931011858408165E-3</v>
      </c>
    </row>
    <row r="125" spans="1:4" x14ac:dyDescent="0.2">
      <c r="A125" s="2">
        <v>45894</v>
      </c>
      <c r="B125">
        <v>39.549999237060547</v>
      </c>
      <c r="D125">
        <f t="shared" si="1"/>
        <v>2.1338549143159399E-2</v>
      </c>
    </row>
    <row r="126" spans="1:4" x14ac:dyDescent="0.2">
      <c r="A126" s="2">
        <v>45901</v>
      </c>
      <c r="B126">
        <v>38.965000152587891</v>
      </c>
      <c r="D126">
        <f t="shared" si="1"/>
        <v>-1.4901863711609563E-2</v>
      </c>
    </row>
    <row r="127" spans="1:4" x14ac:dyDescent="0.2">
      <c r="A127" s="2">
        <v>45908</v>
      </c>
      <c r="B127">
        <v>41.084999084472663</v>
      </c>
      <c r="D127">
        <f t="shared" si="1"/>
        <v>5.2979257887865193E-2</v>
      </c>
    </row>
    <row r="128" spans="1:4" x14ac:dyDescent="0.2">
      <c r="A128" s="2">
        <v>45915</v>
      </c>
      <c r="B128">
        <v>45.990001678466797</v>
      </c>
      <c r="D128">
        <f t="shared" si="1"/>
        <v>0.11278094894876058</v>
      </c>
    </row>
    <row r="129" spans="1:4" x14ac:dyDescent="0.2">
      <c r="A129" s="2">
        <v>45922</v>
      </c>
      <c r="B129">
        <v>46.150001525878913</v>
      </c>
      <c r="D129">
        <f t="shared" si="1"/>
        <v>3.4729759641513192E-3</v>
      </c>
    </row>
    <row r="130" spans="1:4" x14ac:dyDescent="0.2">
      <c r="A130" s="2">
        <v>45929</v>
      </c>
      <c r="B130">
        <v>47.569999694824219</v>
      </c>
      <c r="D130">
        <f t="shared" si="1"/>
        <v>3.0305310016565317E-2</v>
      </c>
    </row>
    <row r="131" spans="1:4" x14ac:dyDescent="0.2">
      <c r="A131" s="2">
        <v>45936</v>
      </c>
      <c r="B131">
        <v>51.270000457763672</v>
      </c>
      <c r="D131">
        <f t="shared" ref="D131:D144" si="2">LN(B131/B130)</f>
        <v>7.4903490695208075E-2</v>
      </c>
    </row>
    <row r="132" spans="1:4" x14ac:dyDescent="0.2">
      <c r="A132" s="2">
        <v>45943</v>
      </c>
      <c r="B132">
        <v>51.020000457763672</v>
      </c>
      <c r="D132">
        <f t="shared" si="2"/>
        <v>-4.8880730381939703E-3</v>
      </c>
    </row>
    <row r="133" spans="1:4" x14ac:dyDescent="0.2">
      <c r="A133" s="2">
        <v>45950</v>
      </c>
      <c r="B133">
        <v>49.430000305175781</v>
      </c>
      <c r="D133">
        <f t="shared" si="2"/>
        <v>-3.166018819313908E-2</v>
      </c>
    </row>
    <row r="134" spans="1:4" x14ac:dyDescent="0.2">
      <c r="A134" s="2">
        <v>45957</v>
      </c>
      <c r="B134">
        <v>52.869998931884773</v>
      </c>
      <c r="D134">
        <f t="shared" si="2"/>
        <v>6.7278516551921408E-2</v>
      </c>
    </row>
    <row r="135" spans="1:4" x14ac:dyDescent="0.2">
      <c r="A135" s="2">
        <v>45964</v>
      </c>
      <c r="B135">
        <v>44.700000762939453</v>
      </c>
      <c r="D135">
        <f t="shared" si="2"/>
        <v>-0.16786253135716767</v>
      </c>
    </row>
    <row r="136" spans="1:4" x14ac:dyDescent="0.2">
      <c r="A136" s="2">
        <v>45971</v>
      </c>
      <c r="B136">
        <v>44.055000305175781</v>
      </c>
      <c r="D136">
        <f t="shared" si="2"/>
        <v>-1.453465844167238E-2</v>
      </c>
    </row>
    <row r="137" spans="1:4" x14ac:dyDescent="0.2">
      <c r="A137" s="2">
        <v>45978</v>
      </c>
      <c r="B137">
        <v>40.194999694824219</v>
      </c>
      <c r="D137">
        <f t="shared" si="2"/>
        <v>-9.1696258058304822E-2</v>
      </c>
    </row>
    <row r="138" spans="1:4" x14ac:dyDescent="0.2">
      <c r="A138" s="2">
        <v>45985</v>
      </c>
      <c r="B138">
        <v>44</v>
      </c>
      <c r="D138">
        <f t="shared" si="2"/>
        <v>9.0447031730718705E-2</v>
      </c>
    </row>
    <row r="139" spans="1:4" x14ac:dyDescent="0.2">
      <c r="A139" s="2">
        <v>45992</v>
      </c>
      <c r="B139">
        <v>47.014999389648438</v>
      </c>
      <c r="D139">
        <f t="shared" si="2"/>
        <v>6.6277052828718708E-2</v>
      </c>
    </row>
    <row r="140" spans="1:4" x14ac:dyDescent="0.2">
      <c r="A140" s="2">
        <v>45999</v>
      </c>
      <c r="B140">
        <v>43.825000762939453</v>
      </c>
      <c r="D140">
        <f t="shared" si="2"/>
        <v>-7.0262238530909349E-2</v>
      </c>
    </row>
    <row r="141" spans="1:4" x14ac:dyDescent="0.2">
      <c r="A141" s="2">
        <v>46006</v>
      </c>
      <c r="B141">
        <v>43.810001373291023</v>
      </c>
      <c r="D141">
        <f t="shared" si="2"/>
        <v>-3.4231504374434082E-4</v>
      </c>
    </row>
    <row r="142" spans="1:4" x14ac:dyDescent="0.2">
      <c r="A142" s="2">
        <v>46013</v>
      </c>
      <c r="B142">
        <v>44.115001678466797</v>
      </c>
      <c r="D142">
        <f t="shared" si="2"/>
        <v>6.9377655492714844E-3</v>
      </c>
    </row>
    <row r="143" spans="1:4" x14ac:dyDescent="0.2">
      <c r="A143" s="2">
        <v>46020</v>
      </c>
      <c r="B143">
        <v>43.384998321533203</v>
      </c>
      <c r="D143">
        <f t="shared" si="2"/>
        <v>-1.6686178163866743E-2</v>
      </c>
    </row>
    <row r="144" spans="1:4" x14ac:dyDescent="0.2">
      <c r="A144" s="2">
        <v>46027</v>
      </c>
      <c r="B144">
        <v>51.119998931884773</v>
      </c>
      <c r="D144">
        <f t="shared" si="2"/>
        <v>0.16406206861727557</v>
      </c>
    </row>
    <row r="145" spans="1:4" x14ac:dyDescent="0.2">
      <c r="A145" s="2">
        <v>46034</v>
      </c>
      <c r="B145">
        <v>52.450000762939453</v>
      </c>
      <c r="D145">
        <f>LN(B145/B144)</f>
        <v>2.5684560213333093E-2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DD215-3929-6B4E-9B01-34F9CF49C8FA}">
  <sheetPr>
    <tabColor rgb="FFFFFF00"/>
  </sheetPr>
  <dimension ref="A1:D145"/>
  <sheetViews>
    <sheetView topLeftCell="A107" workbookViewId="0">
      <selection activeCell="I17" sqref="I17"/>
    </sheetView>
  </sheetViews>
  <sheetFormatPr baseColWidth="10" defaultRowHeight="16" x14ac:dyDescent="0.2"/>
  <cols>
    <col min="1" max="1" width="17.6640625" bestFit="1" customWidth="1"/>
  </cols>
  <sheetData>
    <row r="1" spans="1:4" x14ac:dyDescent="0.2">
      <c r="A1" s="1" t="s">
        <v>0</v>
      </c>
      <c r="B1" s="1" t="s">
        <v>1</v>
      </c>
      <c r="D1" t="s">
        <v>21</v>
      </c>
    </row>
    <row r="2" spans="1:4" x14ac:dyDescent="0.2">
      <c r="A2" s="2">
        <v>45033</v>
      </c>
      <c r="B2">
        <v>72.5</v>
      </c>
    </row>
    <row r="3" spans="1:4" x14ac:dyDescent="0.2">
      <c r="A3" s="2">
        <v>45040</v>
      </c>
      <c r="B3">
        <v>72.580001831054688</v>
      </c>
      <c r="D3">
        <f>LN(B3/B2)</f>
        <v>1.1028651523836493E-3</v>
      </c>
    </row>
    <row r="4" spans="1:4" x14ac:dyDescent="0.2">
      <c r="A4" s="2">
        <v>45047</v>
      </c>
      <c r="B4">
        <v>72.580001831054688</v>
      </c>
      <c r="D4">
        <f>LN(B4/B3)</f>
        <v>0</v>
      </c>
    </row>
    <row r="5" spans="1:4" x14ac:dyDescent="0.2">
      <c r="A5" s="2">
        <v>45054</v>
      </c>
      <c r="B5">
        <v>74.349998474121094</v>
      </c>
      <c r="D5">
        <f t="shared" ref="D5:D66" si="0">LN(B5/B4)</f>
        <v>2.4094225370233677E-2</v>
      </c>
    </row>
    <row r="6" spans="1:4" x14ac:dyDescent="0.2">
      <c r="A6" s="2">
        <v>45061</v>
      </c>
      <c r="B6">
        <v>78.319999694824219</v>
      </c>
      <c r="D6">
        <f t="shared" si="0"/>
        <v>5.201934194248424E-2</v>
      </c>
    </row>
    <row r="7" spans="1:4" x14ac:dyDescent="0.2">
      <c r="A7" s="2">
        <v>45068</v>
      </c>
      <c r="B7">
        <v>83.010002136230469</v>
      </c>
      <c r="D7">
        <f t="shared" si="0"/>
        <v>5.8158113875829108E-2</v>
      </c>
    </row>
    <row r="8" spans="1:4" x14ac:dyDescent="0.2">
      <c r="A8" s="2">
        <v>45075</v>
      </c>
      <c r="B8">
        <v>84.639999389648438</v>
      </c>
      <c r="D8">
        <f t="shared" si="0"/>
        <v>1.9445852697281451E-2</v>
      </c>
    </row>
    <row r="9" spans="1:4" x14ac:dyDescent="0.2">
      <c r="A9" s="2">
        <v>45082</v>
      </c>
      <c r="B9">
        <v>84.510002136230469</v>
      </c>
      <c r="D9">
        <f t="shared" si="0"/>
        <v>-1.5370650646081944E-3</v>
      </c>
    </row>
    <row r="10" spans="1:4" x14ac:dyDescent="0.2">
      <c r="A10" s="2">
        <v>45089</v>
      </c>
      <c r="B10">
        <v>87.339996337890625</v>
      </c>
      <c r="D10">
        <f t="shared" si="0"/>
        <v>3.2938610293831452E-2</v>
      </c>
    </row>
    <row r="11" spans="1:4" x14ac:dyDescent="0.2">
      <c r="A11" s="2">
        <v>45096</v>
      </c>
      <c r="B11">
        <v>84.75</v>
      </c>
      <c r="D11">
        <f t="shared" si="0"/>
        <v>-3.0102759867504943E-2</v>
      </c>
    </row>
    <row r="12" spans="1:4" x14ac:dyDescent="0.2">
      <c r="A12" s="2">
        <v>45103</v>
      </c>
      <c r="B12">
        <v>86.389999389648438</v>
      </c>
      <c r="D12">
        <f t="shared" si="0"/>
        <v>1.916617504516115E-2</v>
      </c>
    </row>
    <row r="13" spans="1:4" x14ac:dyDescent="0.2">
      <c r="A13" s="2">
        <v>45110</v>
      </c>
      <c r="B13">
        <v>85.610000610351562</v>
      </c>
      <c r="D13">
        <f t="shared" si="0"/>
        <v>-9.0698154218842083E-3</v>
      </c>
    </row>
    <row r="14" spans="1:4" x14ac:dyDescent="0.2">
      <c r="A14" s="2">
        <v>45117</v>
      </c>
      <c r="B14">
        <v>87.269996643066406</v>
      </c>
      <c r="D14">
        <f t="shared" si="0"/>
        <v>1.9204616825316368E-2</v>
      </c>
    </row>
    <row r="15" spans="1:4" x14ac:dyDescent="0.2">
      <c r="A15" s="2">
        <v>45124</v>
      </c>
      <c r="B15">
        <v>87.010002136230469</v>
      </c>
      <c r="D15">
        <f t="shared" si="0"/>
        <v>-2.9836435796691545E-3</v>
      </c>
    </row>
    <row r="16" spans="1:4" x14ac:dyDescent="0.2">
      <c r="A16" s="2">
        <v>45131</v>
      </c>
      <c r="B16">
        <v>88.94000244140625</v>
      </c>
      <c r="D16">
        <f t="shared" si="0"/>
        <v>2.1938933403102545E-2</v>
      </c>
    </row>
    <row r="17" spans="1:4" x14ac:dyDescent="0.2">
      <c r="A17" s="2">
        <v>45138</v>
      </c>
      <c r="B17">
        <v>87.650001525878906</v>
      </c>
      <c r="D17">
        <f t="shared" si="0"/>
        <v>-1.4610383756570731E-2</v>
      </c>
    </row>
    <row r="18" spans="1:4" x14ac:dyDescent="0.2">
      <c r="A18" s="2">
        <v>45145</v>
      </c>
      <c r="B18">
        <v>85.620002746582031</v>
      </c>
      <c r="D18">
        <f t="shared" si="0"/>
        <v>-2.3432695980472585E-2</v>
      </c>
    </row>
    <row r="19" spans="1:4" x14ac:dyDescent="0.2">
      <c r="A19" s="2">
        <v>45152</v>
      </c>
      <c r="B19">
        <v>84.550003051757812</v>
      </c>
      <c r="D19">
        <f t="shared" si="0"/>
        <v>-1.2575821356834936E-2</v>
      </c>
    </row>
    <row r="20" spans="1:4" x14ac:dyDescent="0.2">
      <c r="A20" s="2">
        <v>45159</v>
      </c>
      <c r="B20">
        <v>86.510002136230469</v>
      </c>
      <c r="D20">
        <f t="shared" si="0"/>
        <v>2.2916927447025535E-2</v>
      </c>
    </row>
    <row r="21" spans="1:4" x14ac:dyDescent="0.2">
      <c r="A21" s="2">
        <v>45166</v>
      </c>
      <c r="B21">
        <v>91.260002136230469</v>
      </c>
      <c r="D21">
        <f t="shared" si="0"/>
        <v>5.3452560021701991E-2</v>
      </c>
    </row>
    <row r="22" spans="1:4" x14ac:dyDescent="0.2">
      <c r="A22" s="2">
        <v>45173</v>
      </c>
      <c r="B22">
        <v>91.629997253417969</v>
      </c>
      <c r="D22">
        <f t="shared" si="0"/>
        <v>4.0461000949826124E-3</v>
      </c>
    </row>
    <row r="23" spans="1:4" x14ac:dyDescent="0.2">
      <c r="A23" s="2">
        <v>45180</v>
      </c>
      <c r="B23">
        <v>90.639999389648438</v>
      </c>
      <c r="D23">
        <f t="shared" si="0"/>
        <v>-1.0863089016466793E-2</v>
      </c>
    </row>
    <row r="24" spans="1:4" x14ac:dyDescent="0.2">
      <c r="A24" s="2">
        <v>45187</v>
      </c>
      <c r="B24">
        <v>88.139999389648438</v>
      </c>
      <c r="D24">
        <f t="shared" si="0"/>
        <v>-2.7969157496907142E-2</v>
      </c>
    </row>
    <row r="25" spans="1:4" x14ac:dyDescent="0.2">
      <c r="A25" s="2">
        <v>45194</v>
      </c>
      <c r="B25">
        <v>88.849998474121094</v>
      </c>
      <c r="D25">
        <f t="shared" si="0"/>
        <v>8.023084937964553E-3</v>
      </c>
    </row>
    <row r="26" spans="1:4" x14ac:dyDescent="0.2">
      <c r="A26" s="2">
        <v>45201</v>
      </c>
      <c r="B26">
        <v>89.010002136230469</v>
      </c>
      <c r="D26">
        <f t="shared" si="0"/>
        <v>1.7992095437237439E-3</v>
      </c>
    </row>
    <row r="27" spans="1:4" x14ac:dyDescent="0.2">
      <c r="A27" s="2">
        <v>45208</v>
      </c>
      <c r="B27">
        <v>90.569999694824219</v>
      </c>
      <c r="D27">
        <f t="shared" si="0"/>
        <v>1.7374282046622606E-2</v>
      </c>
    </row>
    <row r="28" spans="1:4" x14ac:dyDescent="0.2">
      <c r="A28" s="2">
        <v>45215</v>
      </c>
      <c r="B28">
        <v>87.519996643066406</v>
      </c>
      <c r="D28">
        <f t="shared" si="0"/>
        <v>-3.4255728699873166E-2</v>
      </c>
    </row>
    <row r="29" spans="1:4" x14ac:dyDescent="0.2">
      <c r="A29" s="2">
        <v>45222</v>
      </c>
      <c r="B29">
        <v>85.889999389648438</v>
      </c>
      <c r="D29">
        <f t="shared" si="0"/>
        <v>-1.8799899645549335E-2</v>
      </c>
    </row>
    <row r="30" spans="1:4" x14ac:dyDescent="0.2">
      <c r="A30" s="2">
        <v>45229</v>
      </c>
      <c r="B30">
        <v>90.819999694824219</v>
      </c>
      <c r="D30">
        <f t="shared" si="0"/>
        <v>5.581212163764572E-2</v>
      </c>
    </row>
    <row r="31" spans="1:4" x14ac:dyDescent="0.2">
      <c r="A31" s="2">
        <v>45236</v>
      </c>
      <c r="B31">
        <v>93.370002746582031</v>
      </c>
      <c r="D31">
        <f t="shared" si="0"/>
        <v>2.7690601602363907E-2</v>
      </c>
    </row>
    <row r="32" spans="1:4" x14ac:dyDescent="0.2">
      <c r="A32" s="2">
        <v>45243</v>
      </c>
      <c r="B32">
        <v>94.339996337890625</v>
      </c>
      <c r="D32">
        <f t="shared" si="0"/>
        <v>1.0335115125968351E-2</v>
      </c>
    </row>
    <row r="33" spans="1:4" x14ac:dyDescent="0.2">
      <c r="A33" s="2">
        <v>45250</v>
      </c>
      <c r="B33">
        <v>95.010002136230469</v>
      </c>
      <c r="D33">
        <f t="shared" si="0"/>
        <v>7.0769326650168413E-3</v>
      </c>
    </row>
    <row r="34" spans="1:4" x14ac:dyDescent="0.2">
      <c r="A34" s="2">
        <v>45257</v>
      </c>
      <c r="B34">
        <v>96.769996643066406</v>
      </c>
      <c r="D34">
        <f t="shared" si="0"/>
        <v>1.8354822500106005E-2</v>
      </c>
    </row>
    <row r="35" spans="1:4" x14ac:dyDescent="0.2">
      <c r="A35" s="2">
        <v>45264</v>
      </c>
      <c r="B35">
        <v>98.19000244140625</v>
      </c>
      <c r="D35">
        <f t="shared" si="0"/>
        <v>1.456740784226772E-2</v>
      </c>
    </row>
    <row r="36" spans="1:4" x14ac:dyDescent="0.2">
      <c r="A36" s="2">
        <v>45271</v>
      </c>
      <c r="B36">
        <v>99.449996948242188</v>
      </c>
      <c r="D36">
        <f t="shared" si="0"/>
        <v>1.2750572568326478E-2</v>
      </c>
    </row>
    <row r="37" spans="1:4" x14ac:dyDescent="0.2">
      <c r="A37" s="2">
        <v>45278</v>
      </c>
      <c r="B37">
        <v>99.760002136230469</v>
      </c>
      <c r="D37">
        <f t="shared" si="0"/>
        <v>3.1123481718507528E-3</v>
      </c>
    </row>
    <row r="38" spans="1:4" x14ac:dyDescent="0.2">
      <c r="A38" s="2">
        <v>45285</v>
      </c>
      <c r="B38">
        <v>100.2600021362305</v>
      </c>
      <c r="D38">
        <f t="shared" si="0"/>
        <v>4.999510356785892E-3</v>
      </c>
    </row>
    <row r="39" spans="1:4" x14ac:dyDescent="0.2">
      <c r="A39" s="2">
        <v>45292</v>
      </c>
      <c r="B39">
        <v>98.089996337890625</v>
      </c>
      <c r="D39">
        <f t="shared" si="0"/>
        <v>-2.1881445900217112E-2</v>
      </c>
    </row>
    <row r="40" spans="1:4" x14ac:dyDescent="0.2">
      <c r="A40" s="2">
        <v>45299</v>
      </c>
      <c r="B40">
        <v>101.5400009155273</v>
      </c>
      <c r="D40">
        <f t="shared" si="0"/>
        <v>3.4567431293621394E-2</v>
      </c>
    </row>
    <row r="41" spans="1:4" x14ac:dyDescent="0.2">
      <c r="A41" s="2">
        <v>45306</v>
      </c>
      <c r="B41">
        <v>104.2200012207031</v>
      </c>
      <c r="D41">
        <f t="shared" si="0"/>
        <v>2.6051242658152871E-2</v>
      </c>
    </row>
    <row r="42" spans="1:4" x14ac:dyDescent="0.2">
      <c r="A42" s="2">
        <v>45313</v>
      </c>
      <c r="B42">
        <v>108</v>
      </c>
      <c r="D42">
        <f t="shared" si="0"/>
        <v>3.5627165930398427E-2</v>
      </c>
    </row>
    <row r="43" spans="1:4" x14ac:dyDescent="0.2">
      <c r="A43" s="2">
        <v>45320</v>
      </c>
      <c r="B43">
        <v>110.05999755859381</v>
      </c>
      <c r="D43">
        <f t="shared" si="0"/>
        <v>1.8894422324890504E-2</v>
      </c>
    </row>
    <row r="44" spans="1:4" x14ac:dyDescent="0.2">
      <c r="A44" s="2">
        <v>45327</v>
      </c>
      <c r="B44">
        <v>112</v>
      </c>
      <c r="D44">
        <f t="shared" si="0"/>
        <v>1.7473221845984342E-2</v>
      </c>
    </row>
    <row r="45" spans="1:4" x14ac:dyDescent="0.2">
      <c r="A45" s="2">
        <v>45334</v>
      </c>
      <c r="B45">
        <v>111.120002746582</v>
      </c>
      <c r="D45">
        <f t="shared" si="0"/>
        <v>-7.888148131745926E-3</v>
      </c>
    </row>
    <row r="46" spans="1:4" x14ac:dyDescent="0.2">
      <c r="A46" s="2">
        <v>45341</v>
      </c>
      <c r="B46">
        <v>110.98000335693359</v>
      </c>
      <c r="D46">
        <f t="shared" si="0"/>
        <v>-1.2606880174988306E-3</v>
      </c>
    </row>
    <row r="47" spans="1:4" x14ac:dyDescent="0.2">
      <c r="A47" s="2">
        <v>45348</v>
      </c>
      <c r="B47">
        <v>113.63999938964839</v>
      </c>
      <c r="D47">
        <f t="shared" si="0"/>
        <v>2.368551646921517E-2</v>
      </c>
    </row>
    <row r="48" spans="1:4" x14ac:dyDescent="0.2">
      <c r="A48" s="2">
        <v>45355</v>
      </c>
      <c r="B48">
        <v>113.7799987792969</v>
      </c>
      <c r="D48">
        <f t="shared" si="0"/>
        <v>1.2311969788100204E-3</v>
      </c>
    </row>
    <row r="49" spans="1:4" x14ac:dyDescent="0.2">
      <c r="A49" s="2">
        <v>45362</v>
      </c>
      <c r="B49">
        <v>111.6800003051758</v>
      </c>
      <c r="D49">
        <f t="shared" si="0"/>
        <v>-1.8629106847221376E-2</v>
      </c>
    </row>
    <row r="50" spans="1:4" x14ac:dyDescent="0.2">
      <c r="A50" s="2">
        <v>45369</v>
      </c>
      <c r="B50">
        <v>115.6800003051758</v>
      </c>
      <c r="D50">
        <f t="shared" si="0"/>
        <v>3.5190119301904334E-2</v>
      </c>
    </row>
    <row r="51" spans="1:4" x14ac:dyDescent="0.2">
      <c r="A51" s="2">
        <v>45376</v>
      </c>
      <c r="B51">
        <v>115.8199996948242</v>
      </c>
      <c r="D51">
        <f t="shared" si="0"/>
        <v>1.2094981141713955E-3</v>
      </c>
    </row>
    <row r="52" spans="1:4" x14ac:dyDescent="0.2">
      <c r="A52" s="2">
        <v>45383</v>
      </c>
      <c r="B52">
        <v>114.98000335693359</v>
      </c>
      <c r="D52">
        <f t="shared" si="0"/>
        <v>-7.2790297717804349E-3</v>
      </c>
    </row>
    <row r="53" spans="1:4" x14ac:dyDescent="0.2">
      <c r="A53" s="2">
        <v>45390</v>
      </c>
      <c r="B53">
        <v>115.48000335693359</v>
      </c>
      <c r="D53">
        <f t="shared" si="0"/>
        <v>4.339154473178895E-3</v>
      </c>
    </row>
    <row r="54" spans="1:4" x14ac:dyDescent="0.2">
      <c r="A54" s="2">
        <v>45397</v>
      </c>
      <c r="B54">
        <v>109.6999969482422</v>
      </c>
      <c r="D54">
        <f t="shared" si="0"/>
        <v>-5.1348044402066549E-2</v>
      </c>
    </row>
    <row r="55" spans="1:4" x14ac:dyDescent="0.2">
      <c r="A55" s="2">
        <v>45404</v>
      </c>
      <c r="B55">
        <v>111.7600021362305</v>
      </c>
      <c r="D55">
        <f t="shared" si="0"/>
        <v>1.8604394601091229E-2</v>
      </c>
    </row>
    <row r="56" spans="1:4" x14ac:dyDescent="0.2">
      <c r="A56" s="2">
        <v>45411</v>
      </c>
      <c r="B56">
        <v>110.7799987792969</v>
      </c>
      <c r="D56">
        <f t="shared" si="0"/>
        <v>-8.8074924773594594E-3</v>
      </c>
    </row>
    <row r="57" spans="1:4" x14ac:dyDescent="0.2">
      <c r="A57" s="2">
        <v>45418</v>
      </c>
      <c r="B57">
        <v>112.3399963378906</v>
      </c>
      <c r="D57">
        <f t="shared" si="0"/>
        <v>1.3983712920047466E-2</v>
      </c>
    </row>
    <row r="58" spans="1:4" x14ac:dyDescent="0.2">
      <c r="A58" s="2">
        <v>45425</v>
      </c>
      <c r="B58">
        <v>114.620002746582</v>
      </c>
      <c r="D58">
        <f t="shared" si="0"/>
        <v>2.0092378580252975E-2</v>
      </c>
    </row>
    <row r="59" spans="1:4" x14ac:dyDescent="0.2">
      <c r="A59" s="2">
        <v>45432</v>
      </c>
      <c r="B59">
        <v>115.2600021362305</v>
      </c>
      <c r="D59">
        <f t="shared" si="0"/>
        <v>5.5681314564411839E-3</v>
      </c>
    </row>
    <row r="60" spans="1:4" x14ac:dyDescent="0.2">
      <c r="A60" s="2">
        <v>45439</v>
      </c>
      <c r="B60">
        <v>110.2399978637695</v>
      </c>
      <c r="D60">
        <f t="shared" si="0"/>
        <v>-4.4530676655184155E-2</v>
      </c>
    </row>
    <row r="61" spans="1:4" x14ac:dyDescent="0.2">
      <c r="A61" s="2">
        <v>45446</v>
      </c>
      <c r="B61">
        <v>116.2600021362305</v>
      </c>
      <c r="D61">
        <f t="shared" si="0"/>
        <v>5.3169292760449703E-2</v>
      </c>
    </row>
    <row r="62" spans="1:4" x14ac:dyDescent="0.2">
      <c r="A62" s="2">
        <v>45453</v>
      </c>
      <c r="B62">
        <v>120.3000030517578</v>
      </c>
      <c r="D62">
        <f t="shared" si="0"/>
        <v>3.4159567700728102E-2</v>
      </c>
    </row>
    <row r="63" spans="1:4" x14ac:dyDescent="0.2">
      <c r="A63" s="2">
        <v>45460</v>
      </c>
      <c r="B63">
        <v>121.6999969482422</v>
      </c>
      <c r="D63">
        <f t="shared" si="0"/>
        <v>1.1570326568882336E-2</v>
      </c>
    </row>
    <row r="64" spans="1:4" x14ac:dyDescent="0.2">
      <c r="A64" s="2">
        <v>45467</v>
      </c>
      <c r="B64">
        <v>124.120002746582</v>
      </c>
      <c r="D64">
        <f t="shared" si="0"/>
        <v>1.9689886791208817E-2</v>
      </c>
    </row>
    <row r="65" spans="1:4" x14ac:dyDescent="0.2">
      <c r="A65" s="2">
        <v>45474</v>
      </c>
      <c r="B65">
        <v>125.13999938964839</v>
      </c>
      <c r="D65">
        <f t="shared" si="0"/>
        <v>8.1842439842476859E-3</v>
      </c>
    </row>
    <row r="66" spans="1:4" x14ac:dyDescent="0.2">
      <c r="A66" s="2">
        <v>45481</v>
      </c>
      <c r="B66">
        <v>124.2200012207031</v>
      </c>
      <c r="D66">
        <f t="shared" si="0"/>
        <v>-7.3789087347654221E-3</v>
      </c>
    </row>
    <row r="67" spans="1:4" x14ac:dyDescent="0.2">
      <c r="A67" s="2">
        <v>45488</v>
      </c>
      <c r="B67">
        <v>119</v>
      </c>
      <c r="D67">
        <f t="shared" ref="D67:D130" si="1">LN(B67/B66)</f>
        <v>-4.2930703846572361E-2</v>
      </c>
    </row>
    <row r="68" spans="1:4" x14ac:dyDescent="0.2">
      <c r="A68" s="2">
        <v>45495</v>
      </c>
      <c r="B68">
        <v>116.94000244140619</v>
      </c>
      <c r="D68">
        <f t="shared" si="1"/>
        <v>-1.7462489486579184E-2</v>
      </c>
    </row>
    <row r="69" spans="1:4" x14ac:dyDescent="0.2">
      <c r="A69" s="2">
        <v>45502</v>
      </c>
      <c r="B69">
        <v>110.98000335693359</v>
      </c>
      <c r="D69">
        <f t="shared" si="1"/>
        <v>-5.2310968479100405E-2</v>
      </c>
    </row>
    <row r="70" spans="1:4" x14ac:dyDescent="0.2">
      <c r="A70" s="2">
        <v>45509</v>
      </c>
      <c r="B70">
        <v>111.44000244140619</v>
      </c>
      <c r="D70">
        <f t="shared" si="1"/>
        <v>4.1363162335089155E-3</v>
      </c>
    </row>
    <row r="71" spans="1:4" x14ac:dyDescent="0.2">
      <c r="A71" s="2">
        <v>45516</v>
      </c>
      <c r="B71">
        <v>116.5800018310547</v>
      </c>
      <c r="D71">
        <f t="shared" si="1"/>
        <v>4.5091396944467087E-2</v>
      </c>
    </row>
    <row r="72" spans="1:4" x14ac:dyDescent="0.2">
      <c r="A72" s="2">
        <v>45523</v>
      </c>
      <c r="B72">
        <v>115.94000244140619</v>
      </c>
      <c r="D72">
        <f t="shared" si="1"/>
        <v>-5.5049113547422429E-3</v>
      </c>
    </row>
    <row r="73" spans="1:4" x14ac:dyDescent="0.2">
      <c r="A73" s="2">
        <v>45530</v>
      </c>
      <c r="B73">
        <v>116.01999664306641</v>
      </c>
      <c r="D73">
        <f t="shared" si="1"/>
        <v>6.8972413474021569E-4</v>
      </c>
    </row>
    <row r="74" spans="1:4" x14ac:dyDescent="0.2">
      <c r="A74" s="2">
        <v>45537</v>
      </c>
      <c r="B74">
        <v>110.8000030517578</v>
      </c>
      <c r="D74">
        <f t="shared" si="1"/>
        <v>-4.6035759247700328E-2</v>
      </c>
    </row>
    <row r="75" spans="1:4" x14ac:dyDescent="0.2">
      <c r="A75" s="2">
        <v>45544</v>
      </c>
      <c r="B75">
        <v>116.9599990844727</v>
      </c>
      <c r="D75">
        <f t="shared" si="1"/>
        <v>5.4105186317649101E-2</v>
      </c>
    </row>
    <row r="76" spans="1:4" x14ac:dyDescent="0.2">
      <c r="A76" s="2">
        <v>45551</v>
      </c>
      <c r="B76">
        <v>118.01999664306641</v>
      </c>
      <c r="D76">
        <f t="shared" si="1"/>
        <v>9.0220850114810063E-3</v>
      </c>
    </row>
    <row r="77" spans="1:4" x14ac:dyDescent="0.2">
      <c r="A77" s="2">
        <v>45558</v>
      </c>
      <c r="B77">
        <v>120.3199996948242</v>
      </c>
      <c r="D77">
        <f t="shared" si="1"/>
        <v>1.9300784479908142E-2</v>
      </c>
    </row>
    <row r="78" spans="1:4" x14ac:dyDescent="0.2">
      <c r="A78" s="2">
        <v>45565</v>
      </c>
      <c r="B78">
        <v>121.94000244140619</v>
      </c>
      <c r="D78">
        <f t="shared" si="1"/>
        <v>1.3374282835880933E-2</v>
      </c>
    </row>
    <row r="79" spans="1:4" x14ac:dyDescent="0.2">
      <c r="A79" s="2">
        <v>45572</v>
      </c>
      <c r="B79">
        <v>125.1999969482422</v>
      </c>
      <c r="D79">
        <f t="shared" si="1"/>
        <v>2.638329378989299E-2</v>
      </c>
    </row>
    <row r="80" spans="1:4" x14ac:dyDescent="0.2">
      <c r="A80" s="2">
        <v>45579</v>
      </c>
      <c r="B80">
        <v>126.5800018310547</v>
      </c>
      <c r="D80">
        <f t="shared" si="1"/>
        <v>1.0962099521816154E-2</v>
      </c>
    </row>
    <row r="81" spans="1:4" x14ac:dyDescent="0.2">
      <c r="A81" s="2">
        <v>45586</v>
      </c>
      <c r="B81">
        <v>126.51999664306641</v>
      </c>
      <c r="D81">
        <f t="shared" si="1"/>
        <v>-4.7416190813356419E-4</v>
      </c>
    </row>
    <row r="82" spans="1:4" x14ac:dyDescent="0.2">
      <c r="A82" s="2">
        <v>45593</v>
      </c>
      <c r="B82">
        <v>124.6999969482422</v>
      </c>
      <c r="D82">
        <f t="shared" si="1"/>
        <v>-1.4489543691424824E-2</v>
      </c>
    </row>
    <row r="83" spans="1:4" x14ac:dyDescent="0.2">
      <c r="A83" s="2">
        <v>45600</v>
      </c>
      <c r="B83">
        <v>132.46000671386719</v>
      </c>
      <c r="D83">
        <f t="shared" si="1"/>
        <v>6.0369935529635911E-2</v>
      </c>
    </row>
    <row r="84" spans="1:4" x14ac:dyDescent="0.2">
      <c r="A84" s="2">
        <v>45607</v>
      </c>
      <c r="B84">
        <v>132.36000061035159</v>
      </c>
      <c r="D84">
        <f t="shared" si="1"/>
        <v>-7.5527607811850302E-4</v>
      </c>
    </row>
    <row r="85" spans="1:4" x14ac:dyDescent="0.2">
      <c r="A85" s="2">
        <v>45614</v>
      </c>
      <c r="B85">
        <v>136.91999816894531</v>
      </c>
      <c r="D85">
        <f t="shared" si="1"/>
        <v>3.3871312624101743E-2</v>
      </c>
    </row>
    <row r="86" spans="1:4" x14ac:dyDescent="0.2">
      <c r="A86" s="2">
        <v>45621</v>
      </c>
      <c r="B86">
        <v>135.75999450683591</v>
      </c>
      <c r="D86">
        <f t="shared" si="1"/>
        <v>-8.5082198251591017E-3</v>
      </c>
    </row>
    <row r="87" spans="1:4" x14ac:dyDescent="0.2">
      <c r="A87" s="2">
        <v>45628</v>
      </c>
      <c r="B87">
        <v>140.47999572753909</v>
      </c>
      <c r="D87">
        <f t="shared" si="1"/>
        <v>3.4176519009848728E-2</v>
      </c>
    </row>
    <row r="88" spans="1:4" x14ac:dyDescent="0.2">
      <c r="A88" s="2">
        <v>45635</v>
      </c>
      <c r="B88">
        <v>138.74000549316409</v>
      </c>
      <c r="D88">
        <f t="shared" si="1"/>
        <v>-1.2463381923122486E-2</v>
      </c>
    </row>
    <row r="89" spans="1:4" x14ac:dyDescent="0.2">
      <c r="A89" s="2">
        <v>45642</v>
      </c>
      <c r="B89">
        <v>137.03999328613281</v>
      </c>
      <c r="D89">
        <f t="shared" si="1"/>
        <v>-1.2328912526542189E-2</v>
      </c>
    </row>
    <row r="90" spans="1:4" x14ac:dyDescent="0.2">
      <c r="A90" s="2">
        <v>45649</v>
      </c>
      <c r="B90">
        <v>136.32000732421881</v>
      </c>
      <c r="D90">
        <f t="shared" si="1"/>
        <v>-5.2676882147026103E-3</v>
      </c>
    </row>
    <row r="91" spans="1:4" x14ac:dyDescent="0.2">
      <c r="A91" s="2">
        <v>45656</v>
      </c>
      <c r="B91">
        <v>137.55999755859381</v>
      </c>
      <c r="D91">
        <f t="shared" si="1"/>
        <v>9.0550510069934611E-3</v>
      </c>
    </row>
    <row r="92" spans="1:4" x14ac:dyDescent="0.2">
      <c r="A92" s="2">
        <v>45663</v>
      </c>
      <c r="B92">
        <v>135.5</v>
      </c>
      <c r="D92">
        <f t="shared" si="1"/>
        <v>-1.5088527496372871E-2</v>
      </c>
    </row>
    <row r="93" spans="1:4" x14ac:dyDescent="0.2">
      <c r="A93" s="2">
        <v>45670</v>
      </c>
      <c r="B93">
        <v>138.80000305175781</v>
      </c>
      <c r="D93">
        <f t="shared" si="1"/>
        <v>2.4062429739675952E-2</v>
      </c>
    </row>
    <row r="94" spans="1:4" x14ac:dyDescent="0.2">
      <c r="A94" s="2">
        <v>45677</v>
      </c>
      <c r="B94">
        <v>140.67999267578119</v>
      </c>
      <c r="D94">
        <f t="shared" si="1"/>
        <v>1.3453685483377281E-2</v>
      </c>
    </row>
    <row r="95" spans="1:4" x14ac:dyDescent="0.2">
      <c r="A95" s="2">
        <v>45684</v>
      </c>
      <c r="B95">
        <v>141.74000549316409</v>
      </c>
      <c r="D95">
        <f t="shared" si="1"/>
        <v>7.5066765945145091E-3</v>
      </c>
    </row>
    <row r="96" spans="1:4" x14ac:dyDescent="0.2">
      <c r="A96" s="2">
        <v>45691</v>
      </c>
      <c r="B96">
        <v>142.86000061035159</v>
      </c>
      <c r="D96">
        <f t="shared" si="1"/>
        <v>7.870701861878434E-3</v>
      </c>
    </row>
    <row r="97" spans="1:4" x14ac:dyDescent="0.2">
      <c r="A97" s="2">
        <v>45698</v>
      </c>
      <c r="B97">
        <v>143.3999938964844</v>
      </c>
      <c r="D97">
        <f t="shared" si="1"/>
        <v>3.7727516034467695E-3</v>
      </c>
    </row>
    <row r="98" spans="1:4" x14ac:dyDescent="0.2">
      <c r="A98" s="2">
        <v>45705</v>
      </c>
      <c r="B98">
        <v>142.6000061035156</v>
      </c>
      <c r="D98">
        <f t="shared" si="1"/>
        <v>-5.5943348208020204E-3</v>
      </c>
    </row>
    <row r="99" spans="1:4" x14ac:dyDescent="0.2">
      <c r="A99" s="2">
        <v>45712</v>
      </c>
      <c r="B99">
        <v>134.80000305175781</v>
      </c>
      <c r="D99">
        <f t="shared" si="1"/>
        <v>-5.6251329664487495E-2</v>
      </c>
    </row>
    <row r="100" spans="1:4" x14ac:dyDescent="0.2">
      <c r="A100" s="2">
        <v>45719</v>
      </c>
      <c r="B100">
        <v>124.0400009155273</v>
      </c>
      <c r="D100">
        <f t="shared" si="1"/>
        <v>-8.3188119504207444E-2</v>
      </c>
    </row>
    <row r="101" spans="1:4" x14ac:dyDescent="0.2">
      <c r="A101" s="2">
        <v>45726</v>
      </c>
      <c r="B101">
        <v>123.7200012207031</v>
      </c>
      <c r="D101">
        <f t="shared" si="1"/>
        <v>-2.5831439296236961E-3</v>
      </c>
    </row>
    <row r="102" spans="1:4" x14ac:dyDescent="0.2">
      <c r="A102" s="2">
        <v>45733</v>
      </c>
      <c r="B102">
        <v>125.2799987792969</v>
      </c>
      <c r="D102">
        <f t="shared" si="1"/>
        <v>1.2530264815166055E-2</v>
      </c>
    </row>
    <row r="103" spans="1:4" x14ac:dyDescent="0.2">
      <c r="A103" s="2">
        <v>45740</v>
      </c>
      <c r="B103">
        <v>122.2600021362305</v>
      </c>
      <c r="D103">
        <f t="shared" si="1"/>
        <v>-2.4401280425266226E-2</v>
      </c>
    </row>
    <row r="104" spans="1:4" x14ac:dyDescent="0.2">
      <c r="A104" s="2">
        <v>45747</v>
      </c>
      <c r="B104">
        <v>109.6999969482422</v>
      </c>
      <c r="D104">
        <f t="shared" si="1"/>
        <v>-0.10840060261136693</v>
      </c>
    </row>
    <row r="105" spans="1:4" x14ac:dyDescent="0.2">
      <c r="A105" s="2">
        <v>45754</v>
      </c>
      <c r="B105">
        <v>109.44000244140619</v>
      </c>
      <c r="D105">
        <f t="shared" si="1"/>
        <v>-2.372863279650376E-3</v>
      </c>
    </row>
    <row r="106" spans="1:4" x14ac:dyDescent="0.2">
      <c r="A106" s="2">
        <v>45761</v>
      </c>
      <c r="B106">
        <v>109.63999938964839</v>
      </c>
      <c r="D106">
        <f t="shared" si="1"/>
        <v>1.825789685304519E-3</v>
      </c>
    </row>
    <row r="107" spans="1:4" x14ac:dyDescent="0.2">
      <c r="A107" s="2">
        <v>45768</v>
      </c>
      <c r="B107">
        <v>116.09999847412109</v>
      </c>
      <c r="D107">
        <f t="shared" si="1"/>
        <v>5.7249609693332086E-2</v>
      </c>
    </row>
    <row r="108" spans="1:4" x14ac:dyDescent="0.2">
      <c r="A108" s="2">
        <v>45775</v>
      </c>
      <c r="B108">
        <v>122.44000244140619</v>
      </c>
      <c r="D108">
        <f t="shared" si="1"/>
        <v>5.3169258455777114E-2</v>
      </c>
    </row>
    <row r="109" spans="1:4" x14ac:dyDescent="0.2">
      <c r="A109" s="2">
        <v>45782</v>
      </c>
      <c r="B109">
        <v>123.55999755859381</v>
      </c>
      <c r="D109">
        <f t="shared" si="1"/>
        <v>9.1057142746847428E-3</v>
      </c>
    </row>
    <row r="110" spans="1:4" x14ac:dyDescent="0.2">
      <c r="A110" s="2">
        <v>45789</v>
      </c>
      <c r="B110">
        <v>132.2200012207031</v>
      </c>
      <c r="D110">
        <f t="shared" si="1"/>
        <v>6.7740362846286414E-2</v>
      </c>
    </row>
    <row r="111" spans="1:4" x14ac:dyDescent="0.2">
      <c r="A111" s="2">
        <v>45796</v>
      </c>
      <c r="B111">
        <v>127.7600021362305</v>
      </c>
      <c r="D111">
        <f t="shared" si="1"/>
        <v>-3.431369051038663E-2</v>
      </c>
    </row>
    <row r="112" spans="1:4" x14ac:dyDescent="0.2">
      <c r="A112" s="2">
        <v>45803</v>
      </c>
      <c r="B112">
        <v>129.3399963378906</v>
      </c>
      <c r="D112">
        <f t="shared" si="1"/>
        <v>1.2291047077218013E-2</v>
      </c>
    </row>
    <row r="113" spans="1:4" x14ac:dyDescent="0.2">
      <c r="A113" s="2">
        <v>45810</v>
      </c>
      <c r="B113">
        <v>133.46000671386719</v>
      </c>
      <c r="D113">
        <f t="shared" si="1"/>
        <v>3.1357290077045255E-2</v>
      </c>
    </row>
    <row r="114" spans="1:4" x14ac:dyDescent="0.2">
      <c r="A114" s="2">
        <v>45817</v>
      </c>
      <c r="B114">
        <v>132.36000061035159</v>
      </c>
      <c r="D114">
        <f t="shared" si="1"/>
        <v>-8.2763701169614075E-3</v>
      </c>
    </row>
    <row r="115" spans="1:4" x14ac:dyDescent="0.2">
      <c r="A115" s="2">
        <v>45824</v>
      </c>
      <c r="B115">
        <v>133.5</v>
      </c>
      <c r="D115">
        <f t="shared" si="1"/>
        <v>8.5759901755933163E-3</v>
      </c>
    </row>
    <row r="116" spans="1:4" x14ac:dyDescent="0.2">
      <c r="A116" s="2">
        <v>45831</v>
      </c>
      <c r="B116">
        <v>136.7200012207031</v>
      </c>
      <c r="D116">
        <f t="shared" si="1"/>
        <v>2.3833569895520823E-2</v>
      </c>
    </row>
    <row r="117" spans="1:4" x14ac:dyDescent="0.2">
      <c r="A117" s="2">
        <v>45838</v>
      </c>
      <c r="B117">
        <v>136.75999450683591</v>
      </c>
      <c r="D117">
        <f t="shared" si="1"/>
        <v>2.9247686882192706E-4</v>
      </c>
    </row>
    <row r="118" spans="1:4" x14ac:dyDescent="0.2">
      <c r="A118" s="2">
        <v>45845</v>
      </c>
      <c r="B118">
        <v>137.05999755859381</v>
      </c>
      <c r="D118">
        <f t="shared" si="1"/>
        <v>2.1912437403485948E-3</v>
      </c>
    </row>
    <row r="119" spans="1:4" x14ac:dyDescent="0.2">
      <c r="A119" s="2">
        <v>45852</v>
      </c>
      <c r="B119">
        <v>139.7200012207031</v>
      </c>
      <c r="D119">
        <f t="shared" si="1"/>
        <v>1.9221660330417046E-2</v>
      </c>
    </row>
    <row r="120" spans="1:4" x14ac:dyDescent="0.2">
      <c r="A120" s="2">
        <v>45859</v>
      </c>
      <c r="B120">
        <v>139.52000427246091</v>
      </c>
      <c r="D120">
        <f t="shared" si="1"/>
        <v>-1.432437892173972E-3</v>
      </c>
    </row>
    <row r="121" spans="1:4" x14ac:dyDescent="0.2">
      <c r="A121" s="2">
        <v>45866</v>
      </c>
      <c r="B121">
        <v>137.74000549316409</v>
      </c>
      <c r="D121">
        <f t="shared" si="1"/>
        <v>-1.2840100786012859E-2</v>
      </c>
    </row>
    <row r="122" spans="1:4" x14ac:dyDescent="0.2">
      <c r="A122" s="2">
        <v>45873</v>
      </c>
      <c r="B122">
        <v>140.2799987792969</v>
      </c>
      <c r="D122">
        <f t="shared" si="1"/>
        <v>1.8272526572847416E-2</v>
      </c>
    </row>
    <row r="123" spans="1:4" x14ac:dyDescent="0.2">
      <c r="A123" s="2">
        <v>45880</v>
      </c>
      <c r="B123">
        <v>140.2799987792969</v>
      </c>
      <c r="D123">
        <f t="shared" si="1"/>
        <v>0</v>
      </c>
    </row>
    <row r="124" spans="1:4" x14ac:dyDescent="0.2">
      <c r="A124" s="2">
        <v>45887</v>
      </c>
      <c r="B124">
        <v>139.1000061035156</v>
      </c>
      <c r="D124">
        <f t="shared" si="1"/>
        <v>-8.4472737620602725E-3</v>
      </c>
    </row>
    <row r="125" spans="1:4" x14ac:dyDescent="0.2">
      <c r="A125" s="2">
        <v>45894</v>
      </c>
      <c r="B125">
        <v>139.3999938964844</v>
      </c>
      <c r="D125">
        <f t="shared" si="1"/>
        <v>2.1543117342230893E-3</v>
      </c>
    </row>
    <row r="126" spans="1:4" x14ac:dyDescent="0.2">
      <c r="A126" s="2">
        <v>45901</v>
      </c>
      <c r="B126">
        <v>139.19999694824219</v>
      </c>
      <c r="D126">
        <f t="shared" si="1"/>
        <v>-1.4357285654645478E-3</v>
      </c>
    </row>
    <row r="127" spans="1:4" x14ac:dyDescent="0.2">
      <c r="A127" s="2">
        <v>45908</v>
      </c>
      <c r="B127">
        <v>144.86000061035159</v>
      </c>
      <c r="D127">
        <f t="shared" si="1"/>
        <v>3.9856037003797855E-2</v>
      </c>
    </row>
    <row r="128" spans="1:4" x14ac:dyDescent="0.2">
      <c r="A128" s="2">
        <v>45915</v>
      </c>
      <c r="B128">
        <v>149.46000671386719</v>
      </c>
      <c r="D128">
        <f t="shared" si="1"/>
        <v>3.1261080442403215E-2</v>
      </c>
    </row>
    <row r="129" spans="1:4" x14ac:dyDescent="0.2">
      <c r="A129" s="2">
        <v>45922</v>
      </c>
      <c r="B129">
        <v>148.3800048828125</v>
      </c>
      <c r="D129">
        <f t="shared" si="1"/>
        <v>-7.2522597541091905E-3</v>
      </c>
    </row>
    <row r="130" spans="1:4" x14ac:dyDescent="0.2">
      <c r="A130" s="2">
        <v>45929</v>
      </c>
      <c r="B130">
        <v>151.24000549316409</v>
      </c>
      <c r="D130">
        <f t="shared" si="1"/>
        <v>1.909143167470962E-2</v>
      </c>
    </row>
    <row r="131" spans="1:4" x14ac:dyDescent="0.2">
      <c r="A131" s="2">
        <v>45936</v>
      </c>
      <c r="B131">
        <v>150.32000732421881</v>
      </c>
      <c r="D131">
        <f t="shared" ref="D131:D144" si="2">LN(B131/B130)</f>
        <v>-6.1016115141839392E-3</v>
      </c>
    </row>
    <row r="132" spans="1:4" x14ac:dyDescent="0.2">
      <c r="A132" s="2">
        <v>45943</v>
      </c>
      <c r="B132">
        <v>150.13999938964841</v>
      </c>
      <c r="D132">
        <f t="shared" si="2"/>
        <v>-1.1982157497493024E-3</v>
      </c>
    </row>
    <row r="133" spans="1:4" x14ac:dyDescent="0.2">
      <c r="A133" s="2">
        <v>45950</v>
      </c>
      <c r="B133">
        <v>181.9617004394531</v>
      </c>
      <c r="D133">
        <f t="shared" si="2"/>
        <v>0.1922280397062904</v>
      </c>
    </row>
    <row r="134" spans="1:4" x14ac:dyDescent="0.2">
      <c r="A134" s="2">
        <v>45957</v>
      </c>
      <c r="B134">
        <v>160.63999938964841</v>
      </c>
      <c r="D134">
        <f t="shared" si="2"/>
        <v>-0.12463039508206537</v>
      </c>
    </row>
    <row r="135" spans="1:4" x14ac:dyDescent="0.2">
      <c r="A135" s="2">
        <v>45964</v>
      </c>
      <c r="B135">
        <v>152.1600036621094</v>
      </c>
      <c r="D135">
        <f t="shared" si="2"/>
        <v>-5.4233209839294201E-2</v>
      </c>
    </row>
    <row r="136" spans="1:4" x14ac:dyDescent="0.2">
      <c r="A136" s="2">
        <v>45971</v>
      </c>
      <c r="B136">
        <v>154.25999450683591</v>
      </c>
      <c r="D136">
        <f t="shared" si="2"/>
        <v>1.3706832031505562E-2</v>
      </c>
    </row>
    <row r="137" spans="1:4" x14ac:dyDescent="0.2">
      <c r="A137" s="2">
        <v>45978</v>
      </c>
      <c r="B137">
        <v>146.96000671386719</v>
      </c>
      <c r="D137">
        <f t="shared" si="2"/>
        <v>-4.8478968304209787E-2</v>
      </c>
    </row>
    <row r="138" spans="1:4" x14ac:dyDescent="0.2">
      <c r="A138" s="2">
        <v>45985</v>
      </c>
      <c r="B138">
        <v>152.55999755859381</v>
      </c>
      <c r="D138">
        <f t="shared" si="2"/>
        <v>3.7397458697372481E-2</v>
      </c>
    </row>
    <row r="139" spans="1:4" x14ac:dyDescent="0.2">
      <c r="A139" s="2">
        <v>45992</v>
      </c>
      <c r="B139">
        <v>155.52000427246091</v>
      </c>
      <c r="D139">
        <f t="shared" si="2"/>
        <v>1.9216422894989225E-2</v>
      </c>
    </row>
    <row r="140" spans="1:4" x14ac:dyDescent="0.2">
      <c r="A140" s="2">
        <v>45999</v>
      </c>
      <c r="B140">
        <v>151.53999328613281</v>
      </c>
      <c r="D140">
        <f t="shared" si="2"/>
        <v>-2.5924795985259246E-2</v>
      </c>
    </row>
    <row r="141" spans="1:4" x14ac:dyDescent="0.2">
      <c r="A141" s="2">
        <v>46006</v>
      </c>
      <c r="B141">
        <v>152.80000305175781</v>
      </c>
      <c r="D141">
        <f t="shared" si="2"/>
        <v>8.2803245056881081E-3</v>
      </c>
    </row>
    <row r="142" spans="1:4" x14ac:dyDescent="0.2">
      <c r="A142" s="2">
        <v>46013</v>
      </c>
      <c r="B142">
        <v>153.6000061035156</v>
      </c>
      <c r="D142">
        <f t="shared" si="2"/>
        <v>5.2219637453437152E-3</v>
      </c>
    </row>
    <row r="143" spans="1:4" x14ac:dyDescent="0.2">
      <c r="A143" s="2">
        <v>46020</v>
      </c>
      <c r="B143">
        <v>154.58000183105469</v>
      </c>
      <c r="D143">
        <f t="shared" si="2"/>
        <v>6.3599130740773823E-3</v>
      </c>
    </row>
    <row r="144" spans="1:4" x14ac:dyDescent="0.2">
      <c r="A144" s="2">
        <v>46027</v>
      </c>
      <c r="B144">
        <v>159.2799987792969</v>
      </c>
      <c r="D144">
        <f t="shared" si="2"/>
        <v>2.9951878567981042E-2</v>
      </c>
    </row>
    <row r="145" spans="1:4" x14ac:dyDescent="0.2">
      <c r="A145" s="2">
        <v>46034</v>
      </c>
      <c r="B145">
        <v>156.17999267578119</v>
      </c>
      <c r="D145">
        <f>LN(B145/B144)</f>
        <v>-1.96545107535409E-2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INTRO </vt:lpstr>
      <vt:lpstr>EVALUATION</vt:lpstr>
      <vt:lpstr>PTF OPT.</vt:lpstr>
      <vt:lpstr>&gt;&gt;&gt;DATA SET</vt:lpstr>
      <vt:lpstr>URANIUM</vt:lpstr>
      <vt:lpstr>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D'ONOFRIO</dc:creator>
  <cp:lastModifiedBy>SIMONE D'ONOFRIO</cp:lastModifiedBy>
  <dcterms:created xsi:type="dcterms:W3CDTF">2026-01-16T20:24:09Z</dcterms:created>
  <dcterms:modified xsi:type="dcterms:W3CDTF">2026-01-17T11:22:09Z</dcterms:modified>
</cp:coreProperties>
</file>